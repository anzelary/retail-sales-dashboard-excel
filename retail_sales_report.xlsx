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5c7bfd49dca4451/Music/Data Analytic/Github Projects/Retail-Sales-Report (Excel)/"/>
    </mc:Choice>
  </mc:AlternateContent>
  <xr:revisionPtr revIDLastSave="2410" documentId="11_F25DC773A252ABDACC1048F5B99F6B785ADE58EC" xr6:coauthVersionLast="47" xr6:coauthVersionMax="47" xr10:uidLastSave="{4B450D5E-2219-4323-9812-E03D58F0E393}"/>
  <bookViews>
    <workbookView xWindow="3465" yWindow="195" windowWidth="21360" windowHeight="15285" activeTab="1" xr2:uid="{00000000-000D-0000-FFFF-FFFF00000000}"/>
  </bookViews>
  <sheets>
    <sheet name="retails_sales" sheetId="4" r:id="rId1"/>
    <sheet name="DASHBOARD" sheetId="6" r:id="rId2"/>
    <sheet name="SalesVSDiscount" sheetId="13" r:id="rId3"/>
    <sheet name="Discount" sheetId="12" r:id="rId4"/>
    <sheet name="Top10" sheetId="8" r:id="rId5"/>
    <sheet name="Regions" sheetId="10" r:id="rId6"/>
    <sheet name="Regions&amp;Categories" sheetId="5" r:id="rId7"/>
    <sheet name="AverageOrders" sheetId="9" r:id="rId8"/>
    <sheet name="SalesByDate" sheetId="7" r:id="rId9"/>
    <sheet name="kpi" sheetId="1" r:id="rId10"/>
  </sheets>
  <definedNames>
    <definedName name="_xlcn.WorksheetConnection_retail_sales_analysis.xlsxretails_sales1" hidden="1">retails_sales[]</definedName>
    <definedName name="ExternalData_1" localSheetId="0" hidden="1">'retails_sales'!$A$1:$K$214</definedName>
    <definedName name="NativeTimeline_Order_Date">#N/A</definedName>
    <definedName name="_xlnm.Print_Area" localSheetId="1">DASHBOARD!$B$1:$R$38</definedName>
    <definedName name="Slicer_Category">#N/A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s_sales" name="retails_sales" connection="WorksheetConnection_retail_sales_analysis.xlsx!retails_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6" l="1"/>
  <c r="G4" i="6"/>
  <c r="G3" i="9"/>
  <c r="H3" i="9" s="1"/>
  <c r="M4" i="6" s="1"/>
  <c r="K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4B440C-355A-4D0C-B58D-E927A1EA3418}" keepAlive="1" name="Query - retails_sales" description="Connection to the 'retails_sales' query in the workbook." type="5" refreshedVersion="8" background="1" saveData="1">
    <dbPr connection="Provider=Microsoft.Mashup.OleDb.1;Data Source=$Workbook$;Location=retails_sales;Extended Properties=&quot;&quot;" command="SELECT * FROM [retails_sales]"/>
  </connection>
  <connection id="2" xr16:uid="{37C11643-83B5-4635-B51B-09BC23E2AB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B489C65-408E-4908-9270-869AFA05990C}" name="WorksheetConnection_retail_sales_analysis.xlsx!retails_sales" type="102" refreshedVersion="8" minRefreshableVersion="5">
    <extLst>
      <ext xmlns:x15="http://schemas.microsoft.com/office/spreadsheetml/2010/11/main" uri="{DE250136-89BD-433C-8126-D09CA5730AF9}">
        <x15:connection id="retails_sales">
          <x15:rangePr sourceName="_xlcn.WorksheetConnection_retail_sales_analysis.xlsxretails_sales1"/>
        </x15:connection>
      </ext>
    </extLst>
  </connection>
</connections>
</file>

<file path=xl/sharedStrings.xml><?xml version="1.0" encoding="utf-8"?>
<sst xmlns="http://schemas.openxmlformats.org/spreadsheetml/2006/main" count="1004" uniqueCount="154">
  <si>
    <t>Order ID</t>
  </si>
  <si>
    <t>Order Date</t>
  </si>
  <si>
    <t>Product</t>
  </si>
  <si>
    <t>Category</t>
  </si>
  <si>
    <t>Region</t>
  </si>
  <si>
    <t>Quantity</t>
  </si>
  <si>
    <t>Unit Price</t>
  </si>
  <si>
    <t>Discount</t>
  </si>
  <si>
    <t>Total Sales</t>
  </si>
  <si>
    <t>Wireless Mouse</t>
  </si>
  <si>
    <t>Electronics</t>
  </si>
  <si>
    <t>North</t>
  </si>
  <si>
    <t>Coffee Maker</t>
  </si>
  <si>
    <t>Home Appliances</t>
  </si>
  <si>
    <t>South</t>
  </si>
  <si>
    <t>Running Shoes</t>
  </si>
  <si>
    <t>Sports</t>
  </si>
  <si>
    <t>East</t>
  </si>
  <si>
    <t>LED Monitor</t>
  </si>
  <si>
    <t>West</t>
  </si>
  <si>
    <t>Desk Lamp</t>
  </si>
  <si>
    <t>Furniture</t>
  </si>
  <si>
    <t>Notebook</t>
  </si>
  <si>
    <t>Stationery</t>
  </si>
  <si>
    <t>Office Chair</t>
  </si>
  <si>
    <t>Blender</t>
  </si>
  <si>
    <t>Headphones</t>
  </si>
  <si>
    <t>Water Bottle</t>
  </si>
  <si>
    <t>Printer Paper</t>
  </si>
  <si>
    <t>Smartwatch</t>
  </si>
  <si>
    <t>Desk Organizer</t>
  </si>
  <si>
    <t>Air Fryer</t>
  </si>
  <si>
    <t>Treadmill</t>
  </si>
  <si>
    <t>Pen Set</t>
  </si>
  <si>
    <t>Keyboard</t>
  </si>
  <si>
    <t>Vacuum Cleaner</t>
  </si>
  <si>
    <t>Yoga Mat</t>
  </si>
  <si>
    <t>Bookshelf</t>
  </si>
  <si>
    <t>Stapler</t>
  </si>
  <si>
    <t>Tablet</t>
  </si>
  <si>
    <t>Toaster</t>
  </si>
  <si>
    <t>Dumbbells</t>
  </si>
  <si>
    <t>Office Desk</t>
  </si>
  <si>
    <t>Markers</t>
  </si>
  <si>
    <t>Webcam</t>
  </si>
  <si>
    <t>Microwave</t>
  </si>
  <si>
    <t>Tennis Racket</t>
  </si>
  <si>
    <t>File Cabinet</t>
  </si>
  <si>
    <t>Highlighters</t>
  </si>
  <si>
    <t>Laptop</t>
  </si>
  <si>
    <t>Slow Cooker</t>
  </si>
  <si>
    <t>Jump Rope</t>
  </si>
  <si>
    <t>Sticky Notes</t>
  </si>
  <si>
    <t>Wireless Keyboard</t>
  </si>
  <si>
    <t>Air Purifier</t>
  </si>
  <si>
    <t>Basketball</t>
  </si>
  <si>
    <t>Envelopes</t>
  </si>
  <si>
    <t>Smartphone</t>
  </si>
  <si>
    <t>Yoga Block</t>
  </si>
  <si>
    <t>Monitor Stand</t>
  </si>
  <si>
    <t>Row Labels</t>
  </si>
  <si>
    <t>Grand Total</t>
  </si>
  <si>
    <t>Column Labels</t>
  </si>
  <si>
    <t>Sum of Total Sales</t>
  </si>
  <si>
    <t>Shipment date</t>
  </si>
  <si>
    <t/>
  </si>
  <si>
    <t>03-Jan</t>
  </si>
  <si>
    <t>04-Jan</t>
  </si>
  <si>
    <t>05-Jan</t>
  </si>
  <si>
    <t>06-Jan</t>
  </si>
  <si>
    <t>07-Jan</t>
  </si>
  <si>
    <t>08-Jan</t>
  </si>
  <si>
    <t>09-Jan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</si>
  <si>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</si>
  <si>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</si>
  <si>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</si>
  <si>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</si>
  <si>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</si>
  <si>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</si>
  <si>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</si>
  <si>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</si>
  <si>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</si>
  <si>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</si>
  <si>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</si>
  <si>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</si>
  <si>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</si>
  <si>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</si>
  <si>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</si>
  <si>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</si>
  <si>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</si>
  <si>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</si>
  <si>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</si>
  <si>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</si>
  <si>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</si>
  <si>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</si>
  <si>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</si>
  <si>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</si>
  <si>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</si>
  <si>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</si>
  <si>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</si>
  <si>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</si>
  <si>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</si>
  <si>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</si>
  <si>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</si>
  <si>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</si>
  <si>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</si>
  <si>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</si>
  <si>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</si>
  <si>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</si>
  <si>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</si>
  <si>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</si>
  <si>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</si>
  <si>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</si>
  <si>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</si>
  <si>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</si>
  <si>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</si>
  <si>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</si>
  <si>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</si>
  <si>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</si>
  <si>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</si>
  <si>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</si>
  <si>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</si>
  <si>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</si>
  <si>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</si>
  <si>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</si>
  <si>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</si>
  <si>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</si>
  <si>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</si>
  <si>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</si>
  <si>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</si>
  <si>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</si>
  <si>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</si>
  <si>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</si>
  <si>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</si>
  <si>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</si>
  <si>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</si>
  <si>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</si>
  <si>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</si>
  <si>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</si>
  <si>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</si>
  <si>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</si>
  <si>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</si>
  <si>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</si>
  <si>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</si>
  <si>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Total Sales by Categories in Regions</t>
  </si>
  <si>
    <t>Average Sales per Order</t>
  </si>
  <si>
    <t>Orders</t>
  </si>
  <si>
    <t>Sum of Sales</t>
  </si>
  <si>
    <t>Count of Orders</t>
  </si>
  <si>
    <t>Average Order Value</t>
  </si>
  <si>
    <t>Sum of Discount</t>
  </si>
  <si>
    <t>Discount Amount</t>
  </si>
  <si>
    <t>Sum of Discount Amount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</si>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</sst>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
    <numFmt numFmtId="165" formatCode="&quot;£&quot;#,##0.00"/>
    <numFmt numFmtId="166" formatCode="&quot;£&quot;#,##0.0"/>
  </numFmts>
  <fonts count="7" x14ac:knownFonts="1">
    <font>
      <sz val="11"/>
      <color theme="1"/>
      <name val="Calibri"/>
      <family val="2"/>
      <scheme val="minor"/>
    </font>
    <font>
      <sz val="22"/>
      <color theme="1"/>
      <name val="Calibri"/>
      <family val="2"/>
      <scheme val="minor"/>
    </font>
    <font>
      <b/>
      <sz val="16"/>
      <color rgb="FF0070C0"/>
      <name val="Calibri"/>
      <family val="2"/>
      <scheme val="minor"/>
    </font>
    <font>
      <sz val="11"/>
      <color theme="1"/>
      <name val="Calibri"/>
      <family val="2"/>
      <scheme val="minor"/>
    </font>
    <font>
      <b/>
      <sz val="11"/>
      <color theme="1"/>
      <name val="Calibri"/>
      <family val="2"/>
      <scheme val="minor"/>
    </font>
    <font>
      <b/>
      <sz val="16"/>
      <name val="Calibri"/>
      <family val="2"/>
      <scheme val="minor"/>
    </font>
    <font>
      <b/>
      <sz val="22"/>
      <color rgb="FFC0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
      <patternFill patternType="solid">
        <fgColor theme="0"/>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3" fontId="1" fillId="0" borderId="0" xfId="0" applyNumberFormat="1" applyFont="1" applyAlignment="1">
      <alignment horizontal="center"/>
    </xf>
    <xf numFmtId="0" fontId="0" fillId="2" borderId="0" xfId="0" applyFill="1"/>
    <xf numFmtId="164" fontId="0" fillId="0" borderId="0" xfId="0" applyNumberFormat="1"/>
    <xf numFmtId="0" fontId="2" fillId="2" borderId="0" xfId="0" applyFont="1" applyFill="1"/>
    <xf numFmtId="0" fontId="0" fillId="3" borderId="0" xfId="0" applyFill="1"/>
    <xf numFmtId="166" fontId="2" fillId="2" borderId="0" xfId="0" applyNumberFormat="1" applyFont="1" applyFill="1"/>
    <xf numFmtId="3" fontId="6" fillId="4" borderId="0" xfId="1" applyNumberFormat="1" applyFont="1" applyFill="1" applyAlignment="1">
      <alignment horizontal="center" vertical="center"/>
    </xf>
    <xf numFmtId="0" fontId="4" fillId="4" borderId="0" xfId="0" applyFont="1" applyFill="1" applyAlignment="1">
      <alignment horizontal="center" vertical="center"/>
    </xf>
    <xf numFmtId="1" fontId="5" fillId="4" borderId="0" xfId="0" applyNumberFormat="1" applyFont="1" applyFill="1" applyAlignment="1">
      <alignment horizontal="center" vertical="center"/>
    </xf>
    <xf numFmtId="165" fontId="5" fillId="4" borderId="0" xfId="0" applyNumberFormat="1" applyFont="1" applyFill="1" applyAlignment="1">
      <alignment horizontal="center" vertical="center"/>
    </xf>
    <xf numFmtId="0" fontId="0" fillId="0" borderId="0" xfId="0" applyNumberFormat="1"/>
  </cellXfs>
  <cellStyles count="2">
    <cellStyle name="Comma" xfId="1" builtinId="3"/>
    <cellStyle name="Normal" xfId="0" builtinId="0"/>
  </cellStyles>
  <dxfs count="97">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alignment horizontal="center"/>
    </dxf>
    <dxf>
      <font>
        <sz val="22"/>
      </font>
    </dxf>
    <dxf>
      <font>
        <sz val="22"/>
      </font>
    </dxf>
    <dxf>
      <alignment horizontal="center"/>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powerPivotData" Target="model/item.data"/><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[retail_sales_report.xlsx]SalesByDate!PivotTable3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SalesByDate!$B$3</c:f>
              <c:strCache>
                <c:ptCount val="1"/>
                <c:pt idx="0">
                  <c:v>Total</c:v>
                </c:pt>
              </c:strCache>
            </c:strRef>
          </c:tx>
          <c:spPr>
            <a:ln w="28575" cap="rnd">
              <a:solidFill>
                <a:schemeClr val="accent1"/>
              </a:solidFill>
              <a:round/>
            </a:ln>
            <a:effectLst/>
          </c:spPr>
          <c:marker>
            <c:symbol val="none"/>
          </c:marker>
          <c:cat>
            <c:strRef>
              <c:f>SalesByDate!$A$4:$A$82</c:f>
              <c:strCache>
                <c:ptCount val="78"/>
                <c:pt idx="0">
                  <c:v>03-Jan</c:v>
                </c:pt>
                <c:pt idx="1">
                  <c:v>04-Jan</c:v>
                </c:pt>
                <c:pt idx="2">
                  <c:v>05-Jan</c:v>
                </c:pt>
                <c:pt idx="3">
                  <c:v>06-Jan</c:v>
                </c:pt>
                <c:pt idx="4">
                  <c:v>07-Jan</c:v>
                </c:pt>
                <c:pt idx="5">
                  <c:v>08-Jan</c:v>
                </c:pt>
                <c:pt idx="6">
                  <c:v>09-Jan</c:v>
                </c:pt>
                <c:pt idx="7">
                  <c:v>11-Jan</c:v>
                </c:pt>
                <c:pt idx="8">
                  <c:v>12-Jan</c:v>
                </c:pt>
                <c:pt idx="9">
                  <c:v>13-Jan</c:v>
                </c:pt>
                <c:pt idx="10">
                  <c:v>14-Jan</c:v>
                </c:pt>
                <c:pt idx="11">
                  <c:v>15-Jan</c:v>
                </c:pt>
                <c:pt idx="12">
                  <c:v>16-Jan</c:v>
                </c:pt>
                <c:pt idx="13">
                  <c:v>17-Jan</c:v>
                </c:pt>
                <c:pt idx="14">
                  <c:v>18-Jan</c:v>
                </c:pt>
                <c:pt idx="15">
                  <c:v>19-Jan</c:v>
                </c:pt>
                <c:pt idx="16">
                  <c:v>20-Jan</c:v>
                </c:pt>
                <c:pt idx="17">
                  <c:v>21-Jan</c:v>
                </c:pt>
                <c:pt idx="18">
                  <c:v>22-Jan</c:v>
                </c:pt>
                <c:pt idx="19">
                  <c:v>23-Jan</c:v>
                </c:pt>
                <c:pt idx="20">
                  <c:v>24-Jan</c:v>
                </c:pt>
                <c:pt idx="21">
                  <c:v>25-Jan</c:v>
                </c:pt>
                <c:pt idx="22">
                  <c:v>26-Jan</c:v>
                </c:pt>
                <c:pt idx="23">
                  <c:v>27-Jan</c:v>
                </c:pt>
                <c:pt idx="24">
                  <c:v>28-Jan</c:v>
                </c:pt>
                <c:pt idx="25">
                  <c:v>29-Jan</c:v>
                </c:pt>
                <c:pt idx="26">
                  <c:v>30-Jan</c:v>
                </c:pt>
                <c:pt idx="27">
                  <c:v>31-Jan</c:v>
                </c:pt>
                <c:pt idx="28">
                  <c:v>01-Feb</c:v>
                </c:pt>
                <c:pt idx="29">
                  <c:v>02-Feb</c:v>
                </c:pt>
                <c:pt idx="30">
                  <c:v>03-Feb</c:v>
                </c:pt>
                <c:pt idx="31">
                  <c:v>04-Feb</c:v>
                </c:pt>
                <c:pt idx="32">
                  <c:v>05-Feb</c:v>
                </c:pt>
                <c:pt idx="33">
                  <c:v>06-Feb</c:v>
                </c:pt>
                <c:pt idx="34">
                  <c:v>07-Feb</c:v>
                </c:pt>
                <c:pt idx="35">
                  <c:v>08-Feb</c:v>
                </c:pt>
                <c:pt idx="36">
                  <c:v>09-Feb</c:v>
                </c:pt>
                <c:pt idx="37">
                  <c:v>10-Feb</c:v>
                </c:pt>
                <c:pt idx="38">
                  <c:v>11-Feb</c:v>
                </c:pt>
                <c:pt idx="39">
                  <c:v>12-Feb</c:v>
                </c:pt>
                <c:pt idx="40">
                  <c:v>13-Feb</c:v>
                </c:pt>
                <c:pt idx="41">
                  <c:v>14-Feb</c:v>
                </c:pt>
                <c:pt idx="42">
                  <c:v>15-Feb</c:v>
                </c:pt>
                <c:pt idx="43">
                  <c:v>16-Feb</c:v>
                </c:pt>
                <c:pt idx="44">
                  <c:v>17-Feb</c:v>
                </c:pt>
                <c:pt idx="45">
                  <c:v>18-Feb</c:v>
                </c:pt>
                <c:pt idx="46">
                  <c:v>19-Feb</c:v>
                </c:pt>
                <c:pt idx="47">
                  <c:v>20-Feb</c:v>
                </c:pt>
                <c:pt idx="48">
                  <c:v>21-Feb</c:v>
                </c:pt>
                <c:pt idx="49">
                  <c:v>22-Feb</c:v>
                </c:pt>
                <c:pt idx="50">
                  <c:v>23-Feb</c:v>
                </c:pt>
                <c:pt idx="51">
                  <c:v>24-Feb</c:v>
                </c:pt>
                <c:pt idx="52">
                  <c:v>25-Feb</c:v>
                </c:pt>
                <c:pt idx="53">
                  <c:v>01-Mar</c:v>
                </c:pt>
                <c:pt idx="54">
                  <c:v>02-Mar</c:v>
                </c:pt>
                <c:pt idx="55">
                  <c:v>03-Mar</c:v>
                </c:pt>
                <c:pt idx="56">
                  <c:v>04-Mar</c:v>
                </c:pt>
                <c:pt idx="57">
                  <c:v>05-Mar</c:v>
                </c:pt>
                <c:pt idx="58">
                  <c:v>06-Mar</c:v>
                </c:pt>
                <c:pt idx="59">
                  <c:v>07-Mar</c:v>
                </c:pt>
                <c:pt idx="60">
                  <c:v>08-Mar</c:v>
                </c:pt>
                <c:pt idx="61">
                  <c:v>09-Mar</c:v>
                </c:pt>
                <c:pt idx="62">
                  <c:v>10-Mar</c:v>
                </c:pt>
                <c:pt idx="63">
                  <c:v>11-Mar</c:v>
                </c:pt>
                <c:pt idx="64">
                  <c:v>12-Mar</c:v>
                </c:pt>
                <c:pt idx="65">
                  <c:v>13-Mar</c:v>
                </c:pt>
                <c:pt idx="66">
                  <c:v>14-Mar</c:v>
                </c:pt>
                <c:pt idx="67">
                  <c:v>15-Mar</c:v>
                </c:pt>
                <c:pt idx="68">
                  <c:v>16-Mar</c:v>
                </c:pt>
                <c:pt idx="69">
                  <c:v>17-Mar</c:v>
                </c:pt>
                <c:pt idx="70">
                  <c:v>18-Mar</c:v>
                </c:pt>
                <c:pt idx="71">
                  <c:v>19-Mar</c:v>
                </c:pt>
                <c:pt idx="72">
                  <c:v>20-Mar</c:v>
                </c:pt>
                <c:pt idx="73">
                  <c:v>21-Mar</c:v>
                </c:pt>
                <c:pt idx="74">
                  <c:v>22-Mar</c:v>
                </c:pt>
                <c:pt idx="75">
                  <c:v>23-Mar</c:v>
                </c:pt>
                <c:pt idx="76">
                  <c:v>24-Mar</c:v>
                </c:pt>
                <c:pt idx="77">
                  <c:v>25-Mar</c:v>
                </c:pt>
              </c:strCache>
            </c:strRef>
          </c:cat>
          <c:val>
            <c:numRef>
              <c:f>SalesByDate!$B$4:$B$82</c:f>
              <c:numCache>
                <c:formatCode>#,##0</c:formatCode>
                <c:ptCount val="78"/>
                <c:pt idx="0">
                  <c:v>31.98</c:v>
                </c:pt>
                <c:pt idx="1">
                  <c:v>86.980999999999995</c:v>
                </c:pt>
                <c:pt idx="2">
                  <c:v>79.97</c:v>
                </c:pt>
                <c:pt idx="3">
                  <c:v>190.9905</c:v>
                </c:pt>
                <c:pt idx="4">
                  <c:v>177.9315</c:v>
                </c:pt>
                <c:pt idx="5">
                  <c:v>99.98</c:v>
                </c:pt>
                <c:pt idx="6">
                  <c:v>39.99</c:v>
                </c:pt>
                <c:pt idx="7">
                  <c:v>9.9</c:v>
                </c:pt>
                <c:pt idx="8">
                  <c:v>205.971</c:v>
                </c:pt>
                <c:pt idx="9">
                  <c:v>85.490499999999997</c:v>
                </c:pt>
                <c:pt idx="10">
                  <c:v>399.99200000000002</c:v>
                </c:pt>
                <c:pt idx="11">
                  <c:v>14.97</c:v>
                </c:pt>
                <c:pt idx="12">
                  <c:v>29.99</c:v>
                </c:pt>
                <c:pt idx="13">
                  <c:v>129.99</c:v>
                </c:pt>
                <c:pt idx="14">
                  <c:v>39.979999999999997</c:v>
                </c:pt>
                <c:pt idx="15">
                  <c:v>89.99</c:v>
                </c:pt>
                <c:pt idx="16">
                  <c:v>11.98</c:v>
                </c:pt>
                <c:pt idx="17">
                  <c:v>212.4915</c:v>
                </c:pt>
                <c:pt idx="18">
                  <c:v>29.99</c:v>
                </c:pt>
                <c:pt idx="19">
                  <c:v>49.98</c:v>
                </c:pt>
                <c:pt idx="20">
                  <c:v>179.99100000000001</c:v>
                </c:pt>
                <c:pt idx="21">
                  <c:v>11.94</c:v>
                </c:pt>
                <c:pt idx="22">
                  <c:v>49.99</c:v>
                </c:pt>
                <c:pt idx="23">
                  <c:v>94.990499999999997</c:v>
                </c:pt>
                <c:pt idx="24">
                  <c:v>69.989999999999995</c:v>
                </c:pt>
                <c:pt idx="25">
                  <c:v>129.99</c:v>
                </c:pt>
                <c:pt idx="26">
                  <c:v>5.96</c:v>
                </c:pt>
                <c:pt idx="27">
                  <c:v>719.99099999999999</c:v>
                </c:pt>
                <c:pt idx="28">
                  <c:v>262.95100000000002</c:v>
                </c:pt>
                <c:pt idx="29">
                  <c:v>348.89000000000004</c:v>
                </c:pt>
                <c:pt idx="30">
                  <c:v>359.85199999999998</c:v>
                </c:pt>
                <c:pt idx="31">
                  <c:v>377.87300000000005</c:v>
                </c:pt>
                <c:pt idx="32">
                  <c:v>209.94</c:v>
                </c:pt>
                <c:pt idx="33">
                  <c:v>518.73300000000006</c:v>
                </c:pt>
                <c:pt idx="34">
                  <c:v>315.94000000000005</c:v>
                </c:pt>
                <c:pt idx="35">
                  <c:v>387.43149999999997</c:v>
                </c:pt>
                <c:pt idx="36">
                  <c:v>464.87300000000005</c:v>
                </c:pt>
                <c:pt idx="37">
                  <c:v>699.93100000000004</c:v>
                </c:pt>
                <c:pt idx="38">
                  <c:v>441.81200000000007</c:v>
                </c:pt>
                <c:pt idx="39">
                  <c:v>319.93100000000004</c:v>
                </c:pt>
                <c:pt idx="40">
                  <c:v>444.96000000000004</c:v>
                </c:pt>
                <c:pt idx="41">
                  <c:v>1526.8020000000001</c:v>
                </c:pt>
                <c:pt idx="42">
                  <c:v>213.89000000000001</c:v>
                </c:pt>
                <c:pt idx="43">
                  <c:v>285.27049999999997</c:v>
                </c:pt>
                <c:pt idx="44">
                  <c:v>749.95400000000006</c:v>
                </c:pt>
                <c:pt idx="45">
                  <c:v>464.95400000000006</c:v>
                </c:pt>
                <c:pt idx="46">
                  <c:v>1091.0419999999999</c:v>
                </c:pt>
                <c:pt idx="47">
                  <c:v>259.89999999999998</c:v>
                </c:pt>
                <c:pt idx="48">
                  <c:v>74.900000000000006</c:v>
                </c:pt>
                <c:pt idx="49">
                  <c:v>230.96099999999998</c:v>
                </c:pt>
                <c:pt idx="50">
                  <c:v>1159.9660000000001</c:v>
                </c:pt>
                <c:pt idx="51">
                  <c:v>99.899999999999991</c:v>
                </c:pt>
                <c:pt idx="52">
                  <c:v>309.93</c:v>
                </c:pt>
                <c:pt idx="53">
                  <c:v>117.4705</c:v>
                </c:pt>
                <c:pt idx="54">
                  <c:v>124.97</c:v>
                </c:pt>
                <c:pt idx="55">
                  <c:v>128.95100000000002</c:v>
                </c:pt>
                <c:pt idx="56">
                  <c:v>177.48150000000001</c:v>
                </c:pt>
                <c:pt idx="57">
                  <c:v>39.99</c:v>
                </c:pt>
                <c:pt idx="58">
                  <c:v>298.83300000000003</c:v>
                </c:pt>
                <c:pt idx="59">
                  <c:v>129.97200000000001</c:v>
                </c:pt>
                <c:pt idx="60">
                  <c:v>164.95</c:v>
                </c:pt>
                <c:pt idx="61">
                  <c:v>224.47149999999999</c:v>
                </c:pt>
                <c:pt idx="62">
                  <c:v>54.98</c:v>
                </c:pt>
                <c:pt idx="63">
                  <c:v>199.89100000000002</c:v>
                </c:pt>
                <c:pt idx="64">
                  <c:v>248.97250000000003</c:v>
                </c:pt>
                <c:pt idx="65">
                  <c:v>199.98000000000002</c:v>
                </c:pt>
                <c:pt idx="66">
                  <c:v>832.923</c:v>
                </c:pt>
                <c:pt idx="67">
                  <c:v>179.96200000000002</c:v>
                </c:pt>
                <c:pt idx="68">
                  <c:v>101.86999999999999</c:v>
                </c:pt>
                <c:pt idx="69">
                  <c:v>174.98100000000002</c:v>
                </c:pt>
                <c:pt idx="70">
                  <c:v>157.47149999999999</c:v>
                </c:pt>
                <c:pt idx="71">
                  <c:v>546.31100000000004</c:v>
                </c:pt>
                <c:pt idx="72">
                  <c:v>89.95</c:v>
                </c:pt>
                <c:pt idx="73">
                  <c:v>40.44</c:v>
                </c:pt>
                <c:pt idx="74">
                  <c:v>115.48049999999999</c:v>
                </c:pt>
                <c:pt idx="75">
                  <c:v>579.98300000000006</c:v>
                </c:pt>
                <c:pt idx="76">
                  <c:v>44.96</c:v>
                </c:pt>
                <c:pt idx="77">
                  <c:v>143.95200000000003</c:v>
                </c:pt>
              </c:numCache>
            </c:numRef>
          </c:val>
          <c:smooth val="0"/>
          <c:extLst>
            <c:ext xmlns:c16="http://schemas.microsoft.com/office/drawing/2014/chart" uri="{C3380CC4-5D6E-409C-BE32-E72D297353CC}">
              <c16:uniqueId val="{00000000-A649-4081-AF11-D719BD08BA85}"/>
            </c:ext>
          </c:extLst>
        </c:ser>
        <c:dLbls>
          <c:showLegendKey val="0"/>
          <c:showVal val="0"/>
          <c:showCatName val="0"/>
          <c:showSerName val="0"/>
          <c:showPercent val="0"/>
          <c:showBubbleSize val="0"/>
        </c:dLbls>
        <c:smooth val="0"/>
        <c:axId val="1618075647"/>
        <c:axId val="1618079487"/>
      </c:lineChart>
      <c:catAx>
        <c:axId val="161807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79487"/>
        <c:crosses val="autoZero"/>
        <c:auto val="1"/>
        <c:lblAlgn val="ctr"/>
        <c:lblOffset val="100"/>
        <c:noMultiLvlLbl val="0"/>
      </c:catAx>
      <c:valAx>
        <c:axId val="1618079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7564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[retail_sales_report.xlsx]Top10!PivotTable4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'Top10'!$B$3</c:f>
              <c:strCache>
                <c:ptCount val="1"/>
                <c:pt idx="0">
                  <c:v>Total</c:v>
                </c:pt>
              </c:strCache>
            </c:strRef>
          </c:tx>
          <c:spPr>
            <a:solidFill>
              <a:schemeClr val="accent1"/>
            </a:solidFill>
            <a:ln>
              <a:noFill/>
            </a:ln>
            <a:effectLst/>
          </c:spPr>
          <c:invertIfNegative val="0"/>
          <c:cat>
            <c:strRef>
              <c:f>'Top10'!$A$4:$A$14</c:f>
              <c:strCache>
                <c:ptCount val="10"/>
                <c:pt idx="0">
                  <c:v>Laptop</c:v>
                </c:pt>
                <c:pt idx="1">
                  <c:v>Smartphone</c:v>
                </c:pt>
                <c:pt idx="2">
                  <c:v>Treadmill</c:v>
                </c:pt>
                <c:pt idx="3">
                  <c:v>Office Desk</c:v>
                </c:pt>
                <c:pt idx="4">
                  <c:v>Vacuum Cleaner</c:v>
                </c:pt>
                <c:pt idx="5">
                  <c:v>Office Chair</c:v>
                </c:pt>
                <c:pt idx="6">
                  <c:v>Tablet</c:v>
                </c:pt>
                <c:pt idx="7">
                  <c:v>Smartwatch</c:v>
                </c:pt>
                <c:pt idx="8">
                  <c:v>Bookshelf</c:v>
                </c:pt>
                <c:pt idx="9">
                  <c:v>Air Fryer</c:v>
                </c:pt>
              </c:strCache>
            </c:strRef>
          </c:cat>
          <c:val>
            <c:numRef>
              <c:f>'Top10'!$B$4:$B$14</c:f>
              <c:numCache>
                <c:formatCode>General</c:formatCode>
                <c:ptCount val="10"/>
                <c:pt idx="0">
                  <c:v>2879.9639999999999</c:v>
                </c:pt>
                <c:pt idx="1">
                  <c:v>2159.9639999999999</c:v>
                </c:pt>
                <c:pt idx="2">
                  <c:v>1999.96</c:v>
                </c:pt>
                <c:pt idx="3">
                  <c:v>1439.9280000000001</c:v>
                </c:pt>
                <c:pt idx="4">
                  <c:v>1273.9019999999998</c:v>
                </c:pt>
                <c:pt idx="5">
                  <c:v>1019.9319999999999</c:v>
                </c:pt>
                <c:pt idx="6">
                  <c:v>849.96600000000001</c:v>
                </c:pt>
                <c:pt idx="7">
                  <c:v>719.96400000000006</c:v>
                </c:pt>
                <c:pt idx="8">
                  <c:v>719.92</c:v>
                </c:pt>
                <c:pt idx="9">
                  <c:v>683.92399999999998</c:v>
                </c:pt>
              </c:numCache>
            </c:numRef>
          </c:val>
          <c:extLst>
            <c:ext xmlns:c16="http://schemas.microsoft.com/office/drawing/2014/chart" uri="{C3380CC4-5D6E-409C-BE32-E72D297353CC}">
              <c16:uniqueId val="{00000000-DEA0-4EE7-B42D-3246B9AA8682}"/>
            </c:ext>
          </c:extLst>
        </c:ser>
        <c:dLbls>
          <c:showLegendKey val="0"/>
          <c:showVal val="0"/>
          <c:showCatName val="0"/>
          <c:showSerName val="0"/>
          <c:showPercent val="0"/>
          <c:showBubbleSize val="0"/>
        </c:dLbls>
        <c:gapWidth val="67"/>
        <c:overlap val="-27"/>
        <c:axId val="1036641968"/>
        <c:axId val="1036642448"/>
      </c:barChart>
      <c:catAx>
        <c:axId val="103664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642448"/>
        <c:crosses val="autoZero"/>
        <c:auto val="1"/>
        <c:lblAlgn val="ctr"/>
        <c:lblOffset val="100"/>
        <c:noMultiLvlLbl val="0"/>
      </c:catAx>
      <c:valAx>
        <c:axId val="103664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64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[retail_sales_report.xlsx]Regions&amp;Categories!PivotTable2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Sum of Sales by Region and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'Regions&amp;Categories'!$B$3:$B$4</c:f>
              <c:strCache>
                <c:ptCount val="1"/>
                <c:pt idx="0">
                  <c:v>Electronics</c:v>
                </c:pt>
              </c:strCache>
            </c:strRef>
          </c:tx>
          <c:spPr>
            <a:solidFill>
              <a:schemeClr val="accent6"/>
            </a:solidFill>
            <a:ln>
              <a:noFill/>
            </a:ln>
            <a:effectLst/>
          </c:spPr>
          <c:invertIfNegative val="0"/>
          <c:cat>
            <c:strRef>
              <c:f>'Regions&amp;Categories'!$A$5:$A$9</c:f>
              <c:strCache>
                <c:ptCount val="4"/>
                <c:pt idx="0">
                  <c:v>East</c:v>
                </c:pt>
                <c:pt idx="1">
                  <c:v>North</c:v>
                </c:pt>
                <c:pt idx="2">
                  <c:v>South</c:v>
                </c:pt>
                <c:pt idx="3">
                  <c:v>West</c:v>
                </c:pt>
              </c:strCache>
            </c:strRef>
          </c:cat>
          <c:val>
            <c:numRef>
              <c:f>'Regions&amp;Categories'!$B$5:$B$9</c:f>
              <c:numCache>
                <c:formatCode>#,##0</c:formatCode>
                <c:ptCount val="4"/>
                <c:pt idx="0">
                  <c:v>319.92</c:v>
                </c:pt>
                <c:pt idx="1">
                  <c:v>525.83000000000004</c:v>
                </c:pt>
                <c:pt idx="2">
                  <c:v>3360.9030000000002</c:v>
                </c:pt>
                <c:pt idx="3">
                  <c:v>3813.3884999999991</c:v>
                </c:pt>
              </c:numCache>
            </c:numRef>
          </c:val>
          <c:extLst>
            <c:ext xmlns:c16="http://schemas.microsoft.com/office/drawing/2014/chart" uri="{C3380CC4-5D6E-409C-BE32-E72D297353CC}">
              <c16:uniqueId val="{00000000-77C3-466E-9E3B-018AA486E2C6}"/>
            </c:ext>
          </c:extLst>
        </c:ser>
        <c:ser>
          <c:idx val="1"/>
          <c:order val="1"/>
          <c:tx>
            <c:strRef>
              <c:f>'Regions&amp;Categories'!$C$3:$C$4</c:f>
              <c:strCache>
                <c:ptCount val="1"/>
                <c:pt idx="0">
                  <c:v>Furniture</c:v>
                </c:pt>
              </c:strCache>
            </c:strRef>
          </c:tx>
          <c:spPr>
            <a:solidFill>
              <a:schemeClr val="accent5"/>
            </a:solidFill>
            <a:ln>
              <a:noFill/>
            </a:ln>
            <a:effectLst/>
          </c:spPr>
          <c:invertIfNegative val="0"/>
          <c:cat>
            <c:strRef>
              <c:f>'Regions&amp;Categories'!$A$5:$A$9</c:f>
              <c:strCache>
                <c:ptCount val="4"/>
                <c:pt idx="0">
                  <c:v>East</c:v>
                </c:pt>
                <c:pt idx="1">
                  <c:v>North</c:v>
                </c:pt>
                <c:pt idx="2">
                  <c:v>South</c:v>
                </c:pt>
                <c:pt idx="3">
                  <c:v>West</c:v>
                </c:pt>
              </c:strCache>
            </c:strRef>
          </c:cat>
          <c:val>
            <c:numRef>
              <c:f>'Regions&amp;Categories'!$C$5:$C$9</c:f>
              <c:numCache>
                <c:formatCode>#,##0</c:formatCode>
                <c:ptCount val="4"/>
                <c:pt idx="0">
                  <c:v>487.45150000000001</c:v>
                </c:pt>
                <c:pt idx="1">
                  <c:v>1013.394</c:v>
                </c:pt>
                <c:pt idx="2">
                  <c:v>1239.924</c:v>
                </c:pt>
                <c:pt idx="3">
                  <c:v>1342.4005</c:v>
                </c:pt>
              </c:numCache>
            </c:numRef>
          </c:val>
          <c:extLst>
            <c:ext xmlns:c16="http://schemas.microsoft.com/office/drawing/2014/chart" uri="{C3380CC4-5D6E-409C-BE32-E72D297353CC}">
              <c16:uniqueId val="{0000000D-BE95-4CB9-B4A8-88CD9BCC79CE}"/>
            </c:ext>
          </c:extLst>
        </c:ser>
        <c:ser>
          <c:idx val="2"/>
          <c:order val="2"/>
          <c:tx>
            <c:strRef>
              <c:f>'Regions&amp;Categories'!$D$3:$D$4</c:f>
              <c:strCache>
                <c:ptCount val="1"/>
                <c:pt idx="0">
                  <c:v>Home Appliances</c:v>
                </c:pt>
              </c:strCache>
            </c:strRef>
          </c:tx>
          <c:spPr>
            <a:solidFill>
              <a:schemeClr val="accent4"/>
            </a:solidFill>
            <a:ln>
              <a:noFill/>
            </a:ln>
            <a:effectLst/>
          </c:spPr>
          <c:invertIfNegative val="0"/>
          <c:cat>
            <c:strRef>
              <c:f>'Regions&amp;Categories'!$A$5:$A$9</c:f>
              <c:strCache>
                <c:ptCount val="4"/>
                <c:pt idx="0">
                  <c:v>East</c:v>
                </c:pt>
                <c:pt idx="1">
                  <c:v>North</c:v>
                </c:pt>
                <c:pt idx="2">
                  <c:v>South</c:v>
                </c:pt>
                <c:pt idx="3">
                  <c:v>West</c:v>
                </c:pt>
              </c:strCache>
            </c:strRef>
          </c:cat>
          <c:val>
            <c:numRef>
              <c:f>'Regions&amp;Categories'!$D$5:$D$9</c:f>
              <c:numCache>
                <c:formatCode>#,##0</c:formatCode>
                <c:ptCount val="4"/>
                <c:pt idx="0">
                  <c:v>569.87</c:v>
                </c:pt>
                <c:pt idx="1">
                  <c:v>811.91599999999994</c:v>
                </c:pt>
                <c:pt idx="2">
                  <c:v>1655.8630000000001</c:v>
                </c:pt>
                <c:pt idx="3">
                  <c:v>821.904</c:v>
                </c:pt>
              </c:numCache>
            </c:numRef>
          </c:val>
          <c:extLst>
            <c:ext xmlns:c16="http://schemas.microsoft.com/office/drawing/2014/chart" uri="{C3380CC4-5D6E-409C-BE32-E72D297353CC}">
              <c16:uniqueId val="{0000000E-BE95-4CB9-B4A8-88CD9BCC79CE}"/>
            </c:ext>
          </c:extLst>
        </c:ser>
        <c:ser>
          <c:idx val="3"/>
          <c:order val="3"/>
          <c:tx>
            <c:strRef>
              <c:f>'Regions&amp;Categories'!$E$3:$E$4</c:f>
              <c:strCache>
                <c:ptCount val="1"/>
                <c:pt idx="0">
                  <c:v>Sports</c:v>
                </c:pt>
              </c:strCache>
            </c:strRef>
          </c:tx>
          <c:spPr>
            <a:solidFill>
              <a:schemeClr val="accent6">
                <a:lumMod val="60000"/>
              </a:schemeClr>
            </a:solidFill>
            <a:ln>
              <a:noFill/>
            </a:ln>
            <a:effectLst/>
          </c:spPr>
          <c:invertIfNegative val="0"/>
          <c:cat>
            <c:strRef>
              <c:f>'Regions&amp;Categories'!$A$5:$A$9</c:f>
              <c:strCache>
                <c:ptCount val="4"/>
                <c:pt idx="0">
                  <c:v>East</c:v>
                </c:pt>
                <c:pt idx="1">
                  <c:v>North</c:v>
                </c:pt>
                <c:pt idx="2">
                  <c:v>South</c:v>
                </c:pt>
                <c:pt idx="3">
                  <c:v>West</c:v>
                </c:pt>
              </c:strCache>
            </c:strRef>
          </c:cat>
          <c:val>
            <c:numRef>
              <c:f>'Regions&amp;Categories'!$E$5:$E$9</c:f>
              <c:numCache>
                <c:formatCode>#,##0</c:formatCode>
                <c:ptCount val="4"/>
                <c:pt idx="0">
                  <c:v>1134.7120000000002</c:v>
                </c:pt>
                <c:pt idx="1">
                  <c:v>1879.9279999999999</c:v>
                </c:pt>
                <c:pt idx="2">
                  <c:v>283.69</c:v>
                </c:pt>
                <c:pt idx="3">
                  <c:v>304.79999999999995</c:v>
                </c:pt>
              </c:numCache>
            </c:numRef>
          </c:val>
          <c:extLst>
            <c:ext xmlns:c16="http://schemas.microsoft.com/office/drawing/2014/chart" uri="{C3380CC4-5D6E-409C-BE32-E72D297353CC}">
              <c16:uniqueId val="{0000000F-BE95-4CB9-B4A8-88CD9BCC79CE}"/>
            </c:ext>
          </c:extLst>
        </c:ser>
        <c:ser>
          <c:idx val="4"/>
          <c:order val="4"/>
          <c:tx>
            <c:strRef>
              <c:f>'Regions&amp;Categories'!$F$3:$F$4</c:f>
              <c:strCache>
                <c:ptCount val="1"/>
                <c:pt idx="0">
                  <c:v>Stationery</c:v>
                </c:pt>
              </c:strCache>
            </c:strRef>
          </c:tx>
          <c:spPr>
            <a:solidFill>
              <a:schemeClr val="accent5">
                <a:lumMod val="60000"/>
              </a:schemeClr>
            </a:solidFill>
            <a:ln>
              <a:noFill/>
            </a:ln>
            <a:effectLst/>
          </c:spPr>
          <c:invertIfNegative val="0"/>
          <c:cat>
            <c:strRef>
              <c:f>'Regions&amp;Categories'!$A$5:$A$9</c:f>
              <c:strCache>
                <c:ptCount val="4"/>
                <c:pt idx="0">
                  <c:v>East</c:v>
                </c:pt>
                <c:pt idx="1">
                  <c:v>North</c:v>
                </c:pt>
                <c:pt idx="2">
                  <c:v>South</c:v>
                </c:pt>
                <c:pt idx="3">
                  <c:v>West</c:v>
                </c:pt>
              </c:strCache>
            </c:strRef>
          </c:cat>
          <c:val>
            <c:numRef>
              <c:f>'Regions&amp;Categories'!$F$5:$F$9</c:f>
              <c:numCache>
                <c:formatCode>#,##0</c:formatCode>
                <c:ptCount val="4"/>
                <c:pt idx="0">
                  <c:v>133.19999999999999</c:v>
                </c:pt>
                <c:pt idx="1">
                  <c:v>129.07000000000002</c:v>
                </c:pt>
                <c:pt idx="2">
                  <c:v>138.43</c:v>
                </c:pt>
                <c:pt idx="3">
                  <c:v>54.569999999999993</c:v>
                </c:pt>
              </c:numCache>
            </c:numRef>
          </c:val>
          <c:extLst>
            <c:ext xmlns:c16="http://schemas.microsoft.com/office/drawing/2014/chart" uri="{C3380CC4-5D6E-409C-BE32-E72D297353CC}">
              <c16:uniqueId val="{00000010-BE95-4CB9-B4A8-88CD9BCC79CE}"/>
            </c:ext>
          </c:extLst>
        </c:ser>
        <c:dLbls>
          <c:showLegendKey val="0"/>
          <c:showVal val="0"/>
          <c:showCatName val="0"/>
          <c:showSerName val="0"/>
          <c:showPercent val="0"/>
          <c:showBubbleSize val="0"/>
        </c:dLbls>
        <c:gapWidth val="122"/>
        <c:overlap val="-5"/>
        <c:axId val="1124636832"/>
        <c:axId val="1124641152"/>
      </c:barChart>
      <c:catAx>
        <c:axId val="11246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641152"/>
        <c:crosses val="autoZero"/>
        <c:auto val="1"/>
        <c:lblAlgn val="ctr"/>
        <c:lblOffset val="100"/>
        <c:noMultiLvlLbl val="0"/>
      </c:catAx>
      <c:valAx>
        <c:axId val="1124641152"/>
        <c:scaling>
          <c:orientation val="minMax"/>
          <c:max val="4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63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[retail_sales_report.xlsx]Regions!PivotTable2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bg2">
                <a:lumMod val="50000"/>
              </a:schemeClr>
            </a:solidFill>
          </a:ln>
          <a:effectLst/>
        </c:spPr>
        <c:dLbl>
          <c:idx val="0"/>
          <c:layout>
            <c:manualLayout>
              <c:x val="-0.15427648045526809"/>
              <c:y val="0.1413762690712966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rgbClr val="660066"/>
          </a:solidFill>
          <a:ln w="19050">
            <a:solidFill>
              <a:schemeClr val="bg2">
                <a:lumMod val="50000"/>
              </a:schemeClr>
            </a:solidFill>
          </a:ln>
          <a:effectLst/>
        </c:spPr>
        <c:dLbl>
          <c:idx val="0"/>
          <c:layout>
            <c:manualLayout>
              <c:x val="-5.5825296977254961E-2"/>
              <c:y val="5.5581532149805721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5844660194174757"/>
                  <c:h val="0.2972043010752688"/>
                </c:manualLayout>
              </c15:layout>
            </c:ext>
          </c:extLst>
        </c:dLbl>
      </c:pivotFmt>
      <c:pivotFmt>
        <c:idx val="4"/>
        <c:spPr>
          <a:solidFill>
            <a:schemeClr val="accent2">
              <a:lumMod val="75000"/>
            </a:schemeClr>
          </a:solidFill>
          <a:ln w="19050">
            <a:solidFill>
              <a:schemeClr val="bg2">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15:layout>
                <c:manualLayout>
                  <c:w val="0.29051754453023471"/>
                  <c:h val="0.2972043010752688"/>
                </c:manualLayout>
              </c15:layout>
            </c:ext>
          </c:extLst>
        </c:dLbl>
      </c:pivotFmt>
      <c:pivotFmt>
        <c:idx val="5"/>
        <c:spPr>
          <a:solidFill>
            <a:schemeClr val="accent1"/>
          </a:solidFill>
          <a:ln w="19050">
            <a:solidFill>
              <a:schemeClr val="bg2">
                <a:lumMod val="50000"/>
              </a:schemeClr>
            </a:solidFill>
          </a:ln>
          <a:effectLst/>
        </c:spPr>
        <c:dLbl>
          <c:idx val="0"/>
          <c:layout>
            <c:manualLayout>
              <c:x val="0.16872546352913489"/>
              <c:y val="0.2321244326269652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5003253396905639"/>
                  <c:h val="0.25067338476963613"/>
                </c:manualLayout>
              </c15:layout>
            </c:ext>
          </c:extLst>
        </c:dLbl>
      </c:pivotFmt>
    </c:pivotFmts>
    <c:plotArea>
      <c:layout>
        <c:manualLayout>
          <c:layoutTarget val="inner"/>
          <c:xMode val="edge"/>
          <c:yMode val="edge"/>
          <c:x val="8.788013148841832E-2"/>
          <c:y val="1.4336917562724014E-2"/>
          <c:w val="0.88962225536785866"/>
          <c:h val="0.98509391204148256"/>
        </c:manualLayout>
      </c:layout>
      <c:pieChart>
        <c:varyColors val="1"/>
        <c:ser>
          <c:idx val="0"/>
          <c:order val="0"/>
          <c:tx>
            <c:strRef>
              <c:f>Regions!$B$3</c:f>
              <c:strCache>
                <c:ptCount val="1"/>
                <c:pt idx="0">
                  <c:v>Total</c:v>
                </c:pt>
              </c:strCache>
            </c:strRef>
          </c:tx>
          <c:spPr>
            <a:ln>
              <a:solidFill>
                <a:schemeClr val="bg2">
                  <a:lumMod val="50000"/>
                </a:schemeClr>
              </a:solidFill>
            </a:ln>
          </c:spPr>
          <c:dPt>
            <c:idx val="0"/>
            <c:bubble3D val="0"/>
            <c:spPr>
              <a:solidFill>
                <a:schemeClr val="accent1"/>
              </a:solidFill>
              <a:ln w="19050">
                <a:solidFill>
                  <a:schemeClr val="bg2">
                    <a:lumMod val="50000"/>
                  </a:schemeClr>
                </a:solidFill>
              </a:ln>
              <a:effectLst/>
            </c:spPr>
            <c:extLst>
              <c:ext xmlns:c16="http://schemas.microsoft.com/office/drawing/2014/chart" uri="{C3380CC4-5D6E-409C-BE32-E72D297353CC}">
                <c16:uniqueId val="{00000001-E479-4058-B76E-A00E04789C61}"/>
              </c:ext>
            </c:extLst>
          </c:dPt>
          <c:dPt>
            <c:idx val="1"/>
            <c:bubble3D val="0"/>
            <c:spPr>
              <a:solidFill>
                <a:srgbClr val="660066"/>
              </a:solidFill>
              <a:ln w="19050">
                <a:solidFill>
                  <a:schemeClr val="bg2">
                    <a:lumMod val="50000"/>
                  </a:schemeClr>
                </a:solidFill>
              </a:ln>
              <a:effectLst/>
            </c:spPr>
            <c:extLst>
              <c:ext xmlns:c16="http://schemas.microsoft.com/office/drawing/2014/chart" uri="{C3380CC4-5D6E-409C-BE32-E72D297353CC}">
                <c16:uniqueId val="{00000003-E479-4058-B76E-A00E04789C61}"/>
              </c:ext>
            </c:extLst>
          </c:dPt>
          <c:dPt>
            <c:idx val="2"/>
            <c:bubble3D val="0"/>
            <c:spPr>
              <a:solidFill>
                <a:schemeClr val="accent2">
                  <a:lumMod val="75000"/>
                </a:schemeClr>
              </a:solidFill>
              <a:ln w="19050">
                <a:solidFill>
                  <a:schemeClr val="bg2">
                    <a:lumMod val="50000"/>
                  </a:schemeClr>
                </a:solidFill>
              </a:ln>
              <a:effectLst/>
            </c:spPr>
            <c:extLst>
              <c:ext xmlns:c16="http://schemas.microsoft.com/office/drawing/2014/chart" uri="{C3380CC4-5D6E-409C-BE32-E72D297353CC}">
                <c16:uniqueId val="{00000005-E479-4058-B76E-A00E04789C61}"/>
              </c:ext>
            </c:extLst>
          </c:dPt>
          <c:dPt>
            <c:idx val="3"/>
            <c:bubble3D val="0"/>
            <c:spPr>
              <a:solidFill>
                <a:schemeClr val="accent1">
                  <a:lumMod val="60000"/>
                </a:schemeClr>
              </a:solidFill>
              <a:ln w="19050">
                <a:solidFill>
                  <a:schemeClr val="bg2">
                    <a:lumMod val="50000"/>
                  </a:schemeClr>
                </a:solidFill>
              </a:ln>
              <a:effectLst/>
            </c:spPr>
            <c:extLst>
              <c:ext xmlns:c16="http://schemas.microsoft.com/office/drawing/2014/chart" uri="{C3380CC4-5D6E-409C-BE32-E72D297353CC}">
                <c16:uniqueId val="{00000007-E479-4058-B76E-A00E04789C61}"/>
              </c:ext>
            </c:extLst>
          </c:dPt>
          <c:dLbls>
            <c:dLbl>
              <c:idx val="0"/>
              <c:layout>
                <c:manualLayout>
                  <c:x val="-0.15427648045526809"/>
                  <c:y val="0.1413762690712966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479-4058-B76E-A00E04789C61}"/>
                </c:ext>
              </c:extLst>
            </c:dLbl>
            <c:dLbl>
              <c:idx val="1"/>
              <c:layout>
                <c:manualLayout>
                  <c:x val="-5.5825296977254961E-2"/>
                  <c:y val="5.5581532149805721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5844660194174757"/>
                      <c:h val="0.2972043010752688"/>
                    </c:manualLayout>
                  </c15:layout>
                </c:ext>
                <c:ext xmlns:c16="http://schemas.microsoft.com/office/drawing/2014/chart" uri="{C3380CC4-5D6E-409C-BE32-E72D297353CC}">
                  <c16:uniqueId val="{00000003-E479-4058-B76E-A00E04789C61}"/>
                </c:ext>
              </c:extLst>
            </c:dLbl>
            <c:dLbl>
              <c:idx val="2"/>
              <c:dLblPos val="ctr"/>
              <c:showLegendKey val="0"/>
              <c:showVal val="1"/>
              <c:showCatName val="1"/>
              <c:showSerName val="0"/>
              <c:showPercent val="1"/>
              <c:showBubbleSize val="0"/>
              <c:separator>
</c:separator>
              <c:extLst>
                <c:ext xmlns:c15="http://schemas.microsoft.com/office/drawing/2012/chart" uri="{CE6537A1-D6FC-4f65-9D91-7224C49458BB}">
                  <c15:layout>
                    <c:manualLayout>
                      <c:w val="0.29051754453023471"/>
                      <c:h val="0.2972043010752688"/>
                    </c:manualLayout>
                  </c15:layout>
                </c:ext>
                <c:ext xmlns:c16="http://schemas.microsoft.com/office/drawing/2014/chart" uri="{C3380CC4-5D6E-409C-BE32-E72D297353CC}">
                  <c16:uniqueId val="{00000005-E479-4058-B76E-A00E04789C61}"/>
                </c:ext>
              </c:extLst>
            </c:dLbl>
            <c:dLbl>
              <c:idx val="3"/>
              <c:layout>
                <c:manualLayout>
                  <c:x val="0.16872546352913489"/>
                  <c:y val="0.2321244326269652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5003253396905639"/>
                      <c:h val="0.25067338476963613"/>
                    </c:manualLayout>
                  </c15:layout>
                </c:ext>
                <c:ext xmlns:c16="http://schemas.microsoft.com/office/drawing/2014/chart" uri="{C3380CC4-5D6E-409C-BE32-E72D297353CC}">
                  <c16:uniqueId val="{00000007-E479-4058-B76E-A00E04789C6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Regions!$A$4:$A$8</c:f>
              <c:strCache>
                <c:ptCount val="4"/>
                <c:pt idx="0">
                  <c:v>East</c:v>
                </c:pt>
                <c:pt idx="1">
                  <c:v>North</c:v>
                </c:pt>
                <c:pt idx="2">
                  <c:v>South</c:v>
                </c:pt>
                <c:pt idx="3">
                  <c:v>West</c:v>
                </c:pt>
              </c:strCache>
            </c:strRef>
          </c:cat>
          <c:val>
            <c:numRef>
              <c:f>Regions!$B$4:$B$8</c:f>
              <c:numCache>
                <c:formatCode>"£"#,##0</c:formatCode>
                <c:ptCount val="4"/>
                <c:pt idx="0">
                  <c:v>2645.1534999999981</c:v>
                </c:pt>
                <c:pt idx="1">
                  <c:v>4360.1380000000008</c:v>
                </c:pt>
                <c:pt idx="2">
                  <c:v>6678.8099999999977</c:v>
                </c:pt>
                <c:pt idx="3">
                  <c:v>6337.0629999999983</c:v>
                </c:pt>
              </c:numCache>
            </c:numRef>
          </c:val>
          <c:extLst>
            <c:ext xmlns:c16="http://schemas.microsoft.com/office/drawing/2014/chart" uri="{C3380CC4-5D6E-409C-BE32-E72D297353CC}">
              <c16:uniqueId val="{00000008-E479-4058-B76E-A00E04789C61}"/>
            </c:ext>
          </c:extLst>
        </c:ser>
        <c:dLbls>
          <c:dLblPos val="ctr"/>
          <c:showLegendKey val="0"/>
          <c:showVal val="0"/>
          <c:showCatName val="0"/>
          <c:showSerName val="0"/>
          <c:showPercent val="1"/>
          <c:showBubbleSize val="0"/>
          <c:showLeaderLines val="0"/>
        </c:dLbls>
        <c:firstSliceAng val="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[retail_sales_report.xlsx]SalesVSDiscount!PivotTable2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vs. Discount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SalesVSDiscount!$B$3</c:f>
              <c:strCache>
                <c:ptCount val="1"/>
                <c:pt idx="0">
                  <c:v>Sum of Total Sales</c:v>
                </c:pt>
              </c:strCache>
            </c:strRef>
          </c:tx>
          <c:spPr>
            <a:solidFill>
              <a:schemeClr val="accent1"/>
            </a:solidFill>
            <a:ln>
              <a:noFill/>
            </a:ln>
            <a:effectLst/>
          </c:spPr>
          <c:invertIfNegative val="0"/>
          <c:cat>
            <c:strRef>
              <c:f>SalesVSDiscount!$A$4:$A$9</c:f>
              <c:strCache>
                <c:ptCount val="5"/>
                <c:pt idx="0">
                  <c:v>Electronics</c:v>
                </c:pt>
                <c:pt idx="1">
                  <c:v>Furniture</c:v>
                </c:pt>
                <c:pt idx="2">
                  <c:v>Home Appliances</c:v>
                </c:pt>
                <c:pt idx="3">
                  <c:v>Sports</c:v>
                </c:pt>
                <c:pt idx="4">
                  <c:v>Stationery</c:v>
                </c:pt>
              </c:strCache>
            </c:strRef>
          </c:cat>
          <c:val>
            <c:numRef>
              <c:f>SalesVSDiscount!$B$4:$B$9</c:f>
              <c:numCache>
                <c:formatCode>General</c:formatCode>
                <c:ptCount val="5"/>
                <c:pt idx="0">
                  <c:v>8020.0414999999975</c:v>
                </c:pt>
                <c:pt idx="1">
                  <c:v>4083.17</c:v>
                </c:pt>
                <c:pt idx="2">
                  <c:v>3859.552999999999</c:v>
                </c:pt>
                <c:pt idx="3">
                  <c:v>3603.1299999999997</c:v>
                </c:pt>
                <c:pt idx="4">
                  <c:v>455.26999999999987</c:v>
                </c:pt>
              </c:numCache>
            </c:numRef>
          </c:val>
          <c:extLst>
            <c:ext xmlns:c16="http://schemas.microsoft.com/office/drawing/2014/chart" uri="{C3380CC4-5D6E-409C-BE32-E72D297353CC}">
              <c16:uniqueId val="{00000000-8F7B-4801-8C12-DE301B657E06}"/>
            </c:ext>
          </c:extLst>
        </c:ser>
        <c:ser>
          <c:idx val="1"/>
          <c:order val="1"/>
          <c:tx>
            <c:strRef>
              <c:f>SalesVSDiscount!$C$3</c:f>
              <c:strCache>
                <c:ptCount val="1"/>
                <c:pt idx="0">
                  <c:v>Sum of Discount Amount</c:v>
                </c:pt>
              </c:strCache>
            </c:strRef>
          </c:tx>
          <c:spPr>
            <a:solidFill>
              <a:schemeClr val="accent2"/>
            </a:solidFill>
            <a:ln>
              <a:noFill/>
            </a:ln>
            <a:effectLst/>
          </c:spPr>
          <c:invertIfNegative val="0"/>
          <c:cat>
            <c:strRef>
              <c:f>SalesVSDiscount!$A$4:$A$9</c:f>
              <c:strCache>
                <c:ptCount val="5"/>
                <c:pt idx="0">
                  <c:v>Electronics</c:v>
                </c:pt>
                <c:pt idx="1">
                  <c:v>Furniture</c:v>
                </c:pt>
                <c:pt idx="2">
                  <c:v>Home Appliances</c:v>
                </c:pt>
                <c:pt idx="3">
                  <c:v>Sports</c:v>
                </c:pt>
                <c:pt idx="4">
                  <c:v>Stationery</c:v>
                </c:pt>
              </c:strCache>
            </c:strRef>
          </c:cat>
          <c:val>
            <c:numRef>
              <c:f>SalesVSDiscount!$C$4:$C$9</c:f>
              <c:numCache>
                <c:formatCode>General</c:formatCode>
                <c:ptCount val="5"/>
                <c:pt idx="0">
                  <c:v>835.47850000000017</c:v>
                </c:pt>
                <c:pt idx="1">
                  <c:v>339.98</c:v>
                </c:pt>
                <c:pt idx="2">
                  <c:v>279.97699999999998</c:v>
                </c:pt>
                <c:pt idx="3">
                  <c:v>499.99</c:v>
                </c:pt>
                <c:pt idx="4">
                  <c:v>0</c:v>
                </c:pt>
              </c:numCache>
            </c:numRef>
          </c:val>
          <c:extLst>
            <c:ext xmlns:c16="http://schemas.microsoft.com/office/drawing/2014/chart" uri="{C3380CC4-5D6E-409C-BE32-E72D297353CC}">
              <c16:uniqueId val="{00000001-8F7B-4801-8C12-DE301B657E06}"/>
            </c:ext>
          </c:extLst>
        </c:ser>
        <c:dLbls>
          <c:showLegendKey val="0"/>
          <c:showVal val="0"/>
          <c:showCatName val="0"/>
          <c:showSerName val="0"/>
          <c:showPercent val="0"/>
          <c:showBubbleSize val="0"/>
        </c:dLbls>
        <c:gapWidth val="150"/>
        <c:overlap val="100"/>
        <c:axId val="452691183"/>
        <c:axId val="452700303"/>
      </c:barChart>
      <c:catAx>
        <c:axId val="45269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00303"/>
        <c:crosses val="autoZero"/>
        <c:auto val="1"/>
        <c:lblAlgn val="ctr"/>
        <c:lblOffset val="100"/>
        <c:noMultiLvlLbl val="0"/>
      </c:catAx>
      <c:valAx>
        <c:axId val="452700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91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130971</xdr:colOff>
      <xdr:row>20</xdr:row>
      <xdr:rowOff>164305</xdr:rowOff>
    </xdr:from>
    <xdr:to>
      <xdr:col>16</xdr:col>
      <xdr:colOff>472631</xdr:colOff>
      <xdr:row>26</xdr:row>
      <xdr:rowOff>145256</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0CEFDC35-CC9C-9304-3010-42A567329EE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155909" y="4426743"/>
              <a:ext cx="1556098" cy="11239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xdr:col>
      <xdr:colOff>111919</xdr:colOff>
      <xdr:row>14</xdr:row>
      <xdr:rowOff>130968</xdr:rowOff>
    </xdr:from>
    <xdr:to>
      <xdr:col>13</xdr:col>
      <xdr:colOff>11906</xdr:colOff>
      <xdr:row>22</xdr:row>
      <xdr:rowOff>23811</xdr:rowOff>
    </xdr:to>
    <xdr:graphicFrame macro="">
      <xdr:nvGraphicFramePr>
        <xdr:cNvPr id="3" name="Chart 1">
          <a:extLst>
            <a:ext uri="{FF2B5EF4-FFF2-40B4-BE49-F238E27FC236}">
              <a16:creationId xmlns:a16="http://schemas.microsoft.com/office/drawing/2014/main" id="{DF0CF3DC-F37B-CFF5-FD47-D9274B4B4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133347</xdr:colOff>
      <xdr:row>10</xdr:row>
      <xdr:rowOff>169070</xdr:rowOff>
    </xdr:from>
    <xdr:to>
      <xdr:col>16</xdr:col>
      <xdr:colOff>488153</xdr:colOff>
      <xdr:row>20</xdr:row>
      <xdr:rowOff>35720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EF966FC5-9216-4658-80C9-B23019BE3A4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58285" y="2526508"/>
              <a:ext cx="1569244" cy="1771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147636</xdr:colOff>
      <xdr:row>3</xdr:row>
      <xdr:rowOff>300038</xdr:rowOff>
    </xdr:from>
    <xdr:to>
      <xdr:col>16</xdr:col>
      <xdr:colOff>473867</xdr:colOff>
      <xdr:row>10</xdr:row>
      <xdr:rowOff>76200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58EE2A6-A426-4BEE-813C-27C7A7EC30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72574" y="1014413"/>
              <a:ext cx="1540669" cy="1419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350044</xdr:colOff>
      <xdr:row>22</xdr:row>
      <xdr:rowOff>145255</xdr:rowOff>
    </xdr:from>
    <xdr:to>
      <xdr:col>12</xdr:col>
      <xdr:colOff>1288256</xdr:colOff>
      <xdr:row>37</xdr:row>
      <xdr:rowOff>21431</xdr:rowOff>
    </xdr:to>
    <xdr:graphicFrame macro="">
      <xdr:nvGraphicFramePr>
        <xdr:cNvPr id="9" name="Chart 1">
          <a:extLst>
            <a:ext uri="{FF2B5EF4-FFF2-40B4-BE49-F238E27FC236}">
              <a16:creationId xmlns:a16="http://schemas.microsoft.com/office/drawing/2014/main" id="{2884C99B-A464-BE92-3641-91219ADA9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118547</xdr:colOff>
      <xdr:row>0</xdr:row>
      <xdr:rowOff>0</xdr:rowOff>
    </xdr:from>
    <xdr:ext cx="4415889" cy="468013"/>
    <xdr:sp macro="" textlink="">
      <xdr:nvSpPr>
        <xdr:cNvPr id="4" name="Rectangle 3">
          <a:extLst>
            <a:ext uri="{FF2B5EF4-FFF2-40B4-BE49-F238E27FC236}">
              <a16:creationId xmlns:a16="http://schemas.microsoft.com/office/drawing/2014/main" id="{938AA3AE-D328-1972-4F1E-CF9EFE1BE30D}"/>
            </a:ext>
          </a:extLst>
        </xdr:cNvPr>
        <xdr:cNvSpPr/>
      </xdr:nvSpPr>
      <xdr:spPr>
        <a:xfrm>
          <a:off x="3154641" y="0"/>
          <a:ext cx="4415889" cy="468013"/>
        </a:xfrm>
        <a:prstGeom prst="rect">
          <a:avLst/>
        </a:prstGeom>
        <a:noFill/>
      </xdr:spPr>
      <xdr:txBody>
        <a:bodyPr wrap="none" lIns="91440" tIns="45720" rIns="91440" bIns="45720">
          <a:spAutoFit/>
        </a:bodyPr>
        <a:lstStyle/>
        <a:p>
          <a:pPr algn="ctr"/>
          <a:r>
            <a:rPr lang="en-GB" sz="2400" b="0" cap="none" spc="0">
              <a:ln w="0"/>
              <a:solidFill>
                <a:schemeClr val="accent1">
                  <a:lumMod val="20000"/>
                  <a:lumOff val="80000"/>
                </a:schemeClr>
              </a:solidFill>
              <a:effectLst>
                <a:outerShdw blurRad="38100" dist="19050" dir="2700000" algn="tl" rotWithShape="0">
                  <a:schemeClr val="dk1">
                    <a:alpha val="40000"/>
                  </a:schemeClr>
                </a:outerShdw>
              </a:effectLst>
            </a:rPr>
            <a:t>Retail Sales (March-January 2024)</a:t>
          </a:r>
        </a:p>
      </xdr:txBody>
    </xdr:sp>
    <xdr:clientData/>
  </xdr:oneCellAnchor>
  <xdr:twoCellAnchor>
    <xdr:from>
      <xdr:col>5</xdr:col>
      <xdr:colOff>590550</xdr:colOff>
      <xdr:row>5</xdr:row>
      <xdr:rowOff>114299</xdr:rowOff>
    </xdr:from>
    <xdr:to>
      <xdr:col>13</xdr:col>
      <xdr:colOff>19050</xdr:colOff>
      <xdr:row>13</xdr:row>
      <xdr:rowOff>180974</xdr:rowOff>
    </xdr:to>
    <xdr:graphicFrame macro="">
      <xdr:nvGraphicFramePr>
        <xdr:cNvPr id="10" name="Chart 1">
          <a:extLst>
            <a:ext uri="{FF2B5EF4-FFF2-40B4-BE49-F238E27FC236}">
              <a16:creationId xmlns:a16="http://schemas.microsoft.com/office/drawing/2014/main" id="{8C73578F-FD47-D92C-6DC4-F774AEFAA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238125</xdr:colOff>
      <xdr:row>1</xdr:row>
      <xdr:rowOff>47626</xdr:rowOff>
    </xdr:from>
    <xdr:to>
      <xdr:col>5</xdr:col>
      <xdr:colOff>314324</xdr:colOff>
      <xdr:row>13</xdr:row>
      <xdr:rowOff>114300</xdr:rowOff>
    </xdr:to>
    <xdr:graphicFrame macro="">
      <xdr:nvGraphicFramePr>
        <xdr:cNvPr id="11" name="Chart 2">
          <a:extLst>
            <a:ext uri="{FF2B5EF4-FFF2-40B4-BE49-F238E27FC236}">
              <a16:creationId xmlns:a16="http://schemas.microsoft.com/office/drawing/2014/main" id="{103DE2C5-8C07-013E-58DC-94BCCF538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104775</xdr:colOff>
      <xdr:row>22</xdr:row>
      <xdr:rowOff>123824</xdr:rowOff>
    </xdr:from>
    <xdr:to>
      <xdr:col>8</xdr:col>
      <xdr:colOff>80962</xdr:colOff>
      <xdr:row>37</xdr:row>
      <xdr:rowOff>9524</xdr:rowOff>
    </xdr:to>
    <xdr:graphicFrame macro="">
      <xdr:nvGraphicFramePr>
        <xdr:cNvPr id="15" name="Chart 1">
          <a:extLst>
            <a:ext uri="{FF2B5EF4-FFF2-40B4-BE49-F238E27FC236}">
              <a16:creationId xmlns:a16="http://schemas.microsoft.com/office/drawing/2014/main" id="{A2E87520-3496-7C4B-B2C6-698ABD4CE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zela Rizakova" refreshedDate="46127.720171180554" createdVersion="8" refreshedVersion="8" minRefreshableVersion="3" recordCount="213" xr:uid="{BA6DFBBA-9F8B-41BA-9BB9-3D52C3772832}">
  <cacheSource type="worksheet">
    <worksheetSource name="retails_sales"/>
  </cacheSource>
  <cacheFields count="13">
    <cacheField name="Order ID" numFmtId="0">
      <sharedItems containsSemiMixedTypes="0" containsString="0" containsNumber="1" containsInteger="1" minValue="1001" maxValue="3050" count="148">
        <n v="1001"/>
        <n v="1002"/>
        <n v="1003"/>
        <n v="1004"/>
        <n v="1005"/>
        <n v="1006"/>
        <n v="1007"/>
        <n v="1008"/>
        <n v="1009"/>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3001"/>
        <n v="3002"/>
        <n v="3003"/>
        <n v="3004"/>
        <n v="3005"/>
        <n v="3006"/>
        <n v="3007"/>
        <n v="3008"/>
        <n v="3009"/>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sharedItems>
    </cacheField>
    <cacheField name="Order Date" numFmtId="14">
      <sharedItems containsSemiMixedTypes="0" containsNonDate="0" containsDate="1" containsString="0" minDate="2024-01-03T00:00:00" maxDate="2024-03-26T00:00:00" count="78">
        <d v="2024-01-03T00:00:00"/>
        <d v="2024-01-04T00:00:00"/>
        <d v="2024-01-05T00:00:00"/>
        <d v="2024-01-06T00:00:00"/>
        <d v="2024-01-07T00:00:00"/>
        <d v="2024-01-08T00:00:00"/>
        <d v="2024-01-09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sharedItems>
      <fieldGroup par="12"/>
    </cacheField>
    <cacheField name="Shipment date" numFmtId="0">
      <sharedItems/>
    </cacheField>
    <cacheField name="Product" numFmtId="0">
      <sharedItems count="42">
        <s v="Wireless Mouse"/>
        <s v="Basketball"/>
        <s v="Coffee Maker"/>
        <s v="Running Shoes"/>
        <s v="Water Bottle"/>
        <s v="LED Monitor"/>
        <s v="Desk Lamp"/>
        <s v="Notebook"/>
        <s v="Desk Organizer"/>
        <s v="Office Chair"/>
        <s v="Blender"/>
        <s v="Headphones"/>
        <s v="Printer Paper"/>
        <s v="Smartwatch"/>
        <s v="Air Fryer"/>
        <s v="Treadmill"/>
        <s v="Pen Set"/>
        <s v="Keyboard"/>
        <s v="Vacuum Cleaner"/>
        <s v="Yoga Mat"/>
        <s v="Bookshelf"/>
        <s v="Stapler"/>
        <s v="Tablet"/>
        <s v="Toaster"/>
        <s v="Dumbbells"/>
        <s v="Office Desk"/>
        <s v="Markers"/>
        <s v="Webcam"/>
        <s v="Microwave"/>
        <s v="Tennis Racket"/>
        <s v="File Cabinet"/>
        <s v="Highlighters"/>
        <s v="Laptop"/>
        <s v="Slow Cooker"/>
        <s v="Jump Rope"/>
        <s v="Sticky Notes"/>
        <s v="Wireless Keyboard"/>
        <s v="Air Purifier"/>
        <s v="Envelopes"/>
        <s v="Smartphone"/>
        <s v="Yoga Block"/>
        <s v="Monitor Stand"/>
      </sharedItems>
    </cacheField>
    <cacheField name="Category" numFmtId="0">
      <sharedItems count="5">
        <s v="Electronics"/>
        <s v="Sports"/>
        <s v="Home Appliances"/>
        <s v="Furniture"/>
        <s v="Stationery"/>
      </sharedItems>
    </cacheField>
    <cacheField name="Region" numFmtId="0">
      <sharedItems count="4">
        <s v="North"/>
        <s v="East"/>
        <s v="South"/>
        <s v="West"/>
      </sharedItems>
    </cacheField>
    <cacheField name="Quantity" numFmtId="0">
      <sharedItems containsSemiMixedTypes="0" containsString="0" containsNumber="1" containsInteger="1" minValue="1" maxValue="15"/>
    </cacheField>
    <cacheField name="Unit Price" numFmtId="0">
      <sharedItems containsSemiMixedTypes="0" containsString="0" containsNumber="1" minValue="0.79" maxValue="799.99"/>
    </cacheField>
    <cacheField name="Discount" numFmtId="0">
      <sharedItems containsSemiMixedTypes="0" containsString="0" containsNumber="1" minValue="0" maxValue="0.2"/>
    </cacheField>
    <cacheField name="Total Sales" numFmtId="0">
      <sharedItems containsSemiMixedTypes="0" containsString="0" containsNumber="1" minValue="3.95" maxValue="719.99099999999999"/>
    </cacheField>
    <cacheField name="Discount Amount" numFmtId="0">
      <sharedItems containsSemiMixedTypes="0" containsString="0" containsNumber="1" minValue="0" maxValue="99.998000000000005"/>
    </cacheField>
    <cacheField name="Days (Order Date)" numFmtId="0" databaseField="0">
      <fieldGroup base="1">
        <rangePr groupBy="days" startDate="2024-01-03T00:00:00" endDate="2024-03-26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3/2024"/>
        </groupItems>
      </fieldGroup>
    </cacheField>
    <cacheField name="Months (Order Date)" numFmtId="0" databaseField="0">
      <fieldGroup base="1">
        <rangePr groupBy="months" startDate="2024-01-03T00:00:00" endDate="2024-03-26T00:00:00"/>
        <groupItems count="14">
          <s v="&lt;03/01/2024"/>
          <s v="Jan"/>
          <s v="Feb"/>
          <s v="Mar"/>
          <s v="Apr"/>
          <s v="May"/>
          <s v="Jun"/>
          <s v="Jul"/>
          <s v="Aug"/>
          <s v="Sep"/>
          <s v="Oct"/>
          <s v="Nov"/>
          <s v="Dec"/>
          <s v="&gt;26/03/2024"/>
        </groupItems>
      </fieldGroup>
    </cacheField>
  </cacheFields>
  <extLst>
    <ext xmlns:x14="http://schemas.microsoft.com/office/spreadsheetml/2009/9/main" uri="{725AE2AE-9491-48be-B2B4-4EB974FC3084}">
      <x14:pivotCacheDefinition pivotCacheId="1273271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s v=""/>
    <x v="0"/>
    <x v="0"/>
    <x v="0"/>
    <n v="2"/>
    <n v="15.99"/>
    <n v="0"/>
    <n v="31.98"/>
    <n v="0"/>
  </r>
  <r>
    <x v="1"/>
    <x v="1"/>
    <s v=""/>
    <x v="1"/>
    <x v="1"/>
    <x v="1"/>
    <n v="1"/>
    <n v="14.99"/>
    <n v="0"/>
    <n v="14.99"/>
    <n v="0"/>
  </r>
  <r>
    <x v="1"/>
    <x v="1"/>
    <s v=""/>
    <x v="2"/>
    <x v="2"/>
    <x v="2"/>
    <n v="1"/>
    <n v="79.989999999999995"/>
    <n v="0.1"/>
    <n v="71.991"/>
    <n v="7.9989999999999997"/>
  </r>
  <r>
    <x v="2"/>
    <x v="2"/>
    <s v=""/>
    <x v="3"/>
    <x v="1"/>
    <x v="1"/>
    <n v="1"/>
    <n v="59.99"/>
    <n v="0"/>
    <n v="59.99"/>
    <n v="0"/>
  </r>
  <r>
    <x v="2"/>
    <x v="2"/>
    <s v=""/>
    <x v="4"/>
    <x v="1"/>
    <x v="2"/>
    <n v="2"/>
    <n v="9.99"/>
    <n v="0"/>
    <n v="19.98"/>
    <n v="0"/>
  </r>
  <r>
    <x v="3"/>
    <x v="3"/>
    <s v=""/>
    <x v="5"/>
    <x v="0"/>
    <x v="3"/>
    <n v="1"/>
    <n v="129.99"/>
    <n v="0.05"/>
    <n v="123.4905"/>
    <n v="6.4995000000000012"/>
  </r>
  <r>
    <x v="4"/>
    <x v="3"/>
    <s v=""/>
    <x v="6"/>
    <x v="3"/>
    <x v="0"/>
    <n v="3"/>
    <n v="22.5"/>
    <n v="0"/>
    <n v="67.5"/>
    <n v="0"/>
  </r>
  <r>
    <x v="5"/>
    <x v="4"/>
    <s v=""/>
    <x v="7"/>
    <x v="4"/>
    <x v="2"/>
    <n v="5"/>
    <n v="2.99"/>
    <n v="0"/>
    <n v="14.950000000000001"/>
    <n v="0"/>
  </r>
  <r>
    <x v="6"/>
    <x v="4"/>
    <s v=""/>
    <x v="6"/>
    <x v="3"/>
    <x v="0"/>
    <n v="1"/>
    <n v="22.5"/>
    <n v="0"/>
    <n v="22.5"/>
    <n v="0"/>
  </r>
  <r>
    <x v="6"/>
    <x v="4"/>
    <s v=""/>
    <x v="8"/>
    <x v="3"/>
    <x v="0"/>
    <n v="1"/>
    <n v="12.99"/>
    <n v="0"/>
    <n v="12.99"/>
    <n v="0"/>
  </r>
  <r>
    <x v="6"/>
    <x v="4"/>
    <s v=""/>
    <x v="9"/>
    <x v="3"/>
    <x v="1"/>
    <n v="1"/>
    <n v="149.99"/>
    <n v="0.15"/>
    <n v="127.4915"/>
    <n v="22.4985"/>
  </r>
  <r>
    <x v="7"/>
    <x v="5"/>
    <s v=""/>
    <x v="10"/>
    <x v="2"/>
    <x v="3"/>
    <n v="2"/>
    <n v="49.99"/>
    <n v="0"/>
    <n v="99.98"/>
    <n v="0"/>
  </r>
  <r>
    <x v="8"/>
    <x v="6"/>
    <s v=""/>
    <x v="11"/>
    <x v="0"/>
    <x v="0"/>
    <n v="1"/>
    <n v="39.99"/>
    <n v="0"/>
    <n v="39.99"/>
    <n v="0"/>
  </r>
  <r>
    <x v="9"/>
    <x v="7"/>
    <s v=""/>
    <x v="12"/>
    <x v="4"/>
    <x v="1"/>
    <n v="10"/>
    <n v="0.99"/>
    <n v="0"/>
    <n v="9.9"/>
    <n v="0"/>
  </r>
  <r>
    <x v="10"/>
    <x v="8"/>
    <s v=""/>
    <x v="13"/>
    <x v="0"/>
    <x v="3"/>
    <n v="1"/>
    <n v="199.99"/>
    <n v="0.1"/>
    <n v="179.99100000000001"/>
    <n v="19.999000000000002"/>
  </r>
  <r>
    <x v="11"/>
    <x v="8"/>
    <s v=""/>
    <x v="8"/>
    <x v="3"/>
    <x v="0"/>
    <n v="2"/>
    <n v="12.99"/>
    <n v="0"/>
    <n v="25.98"/>
    <n v="0"/>
  </r>
  <r>
    <x v="12"/>
    <x v="9"/>
    <s v=""/>
    <x v="14"/>
    <x v="2"/>
    <x v="2"/>
    <n v="1"/>
    <n v="89.99"/>
    <n v="0.05"/>
    <n v="85.490499999999997"/>
    <n v="4.4995000000000003"/>
  </r>
  <r>
    <x v="13"/>
    <x v="10"/>
    <s v=""/>
    <x v="15"/>
    <x v="1"/>
    <x v="1"/>
    <n v="1"/>
    <n v="499.99"/>
    <n v="0.2"/>
    <n v="399.99200000000002"/>
    <n v="99.998000000000005"/>
  </r>
  <r>
    <x v="14"/>
    <x v="11"/>
    <s v=""/>
    <x v="16"/>
    <x v="4"/>
    <x v="3"/>
    <n v="3"/>
    <n v="4.99"/>
    <n v="0"/>
    <n v="14.97"/>
    <n v="0"/>
  </r>
  <r>
    <x v="15"/>
    <x v="12"/>
    <s v=""/>
    <x v="17"/>
    <x v="0"/>
    <x v="0"/>
    <n v="1"/>
    <n v="29.99"/>
    <n v="0"/>
    <n v="29.99"/>
    <n v="0"/>
  </r>
  <r>
    <x v="16"/>
    <x v="13"/>
    <s v=""/>
    <x v="18"/>
    <x v="2"/>
    <x v="2"/>
    <n v="1"/>
    <n v="129.99"/>
    <n v="0"/>
    <n v="129.99"/>
    <n v="0"/>
  </r>
  <r>
    <x v="17"/>
    <x v="14"/>
    <s v=""/>
    <x v="19"/>
    <x v="1"/>
    <x v="1"/>
    <n v="2"/>
    <n v="19.989999999999998"/>
    <n v="0"/>
    <n v="39.979999999999997"/>
    <n v="0"/>
  </r>
  <r>
    <x v="18"/>
    <x v="15"/>
    <s v=""/>
    <x v="20"/>
    <x v="3"/>
    <x v="3"/>
    <n v="1"/>
    <n v="89.99"/>
    <n v="0"/>
    <n v="89.99"/>
    <n v="0"/>
  </r>
  <r>
    <x v="19"/>
    <x v="16"/>
    <s v=""/>
    <x v="21"/>
    <x v="4"/>
    <x v="0"/>
    <n v="2"/>
    <n v="5.99"/>
    <n v="0"/>
    <n v="11.98"/>
    <n v="0"/>
  </r>
  <r>
    <x v="20"/>
    <x v="17"/>
    <s v=""/>
    <x v="22"/>
    <x v="0"/>
    <x v="2"/>
    <n v="1"/>
    <n v="249.99"/>
    <n v="0.15"/>
    <n v="212.4915"/>
    <n v="37.4985"/>
  </r>
  <r>
    <x v="21"/>
    <x v="18"/>
    <s v=""/>
    <x v="23"/>
    <x v="2"/>
    <x v="1"/>
    <n v="1"/>
    <n v="29.99"/>
    <n v="0"/>
    <n v="29.99"/>
    <n v="0"/>
  </r>
  <r>
    <x v="22"/>
    <x v="19"/>
    <s v=""/>
    <x v="24"/>
    <x v="1"/>
    <x v="3"/>
    <n v="2"/>
    <n v="24.99"/>
    <n v="0"/>
    <n v="49.98"/>
    <n v="0"/>
  </r>
  <r>
    <x v="23"/>
    <x v="20"/>
    <s v=""/>
    <x v="25"/>
    <x v="3"/>
    <x v="0"/>
    <n v="1"/>
    <n v="199.99"/>
    <n v="0.1"/>
    <n v="179.99100000000001"/>
    <n v="19.999000000000002"/>
  </r>
  <r>
    <x v="24"/>
    <x v="21"/>
    <s v=""/>
    <x v="26"/>
    <x v="4"/>
    <x v="2"/>
    <n v="6"/>
    <n v="1.99"/>
    <n v="0"/>
    <n v="11.94"/>
    <n v="0"/>
  </r>
  <r>
    <x v="25"/>
    <x v="22"/>
    <s v=""/>
    <x v="27"/>
    <x v="0"/>
    <x v="1"/>
    <n v="1"/>
    <n v="49.99"/>
    <n v="0"/>
    <n v="49.99"/>
    <n v="0"/>
  </r>
  <r>
    <x v="26"/>
    <x v="23"/>
    <s v=""/>
    <x v="28"/>
    <x v="2"/>
    <x v="3"/>
    <n v="1"/>
    <n v="99.99"/>
    <n v="0.05"/>
    <n v="94.990499999999997"/>
    <n v="4.9995000000000003"/>
  </r>
  <r>
    <x v="27"/>
    <x v="24"/>
    <s v=""/>
    <x v="29"/>
    <x v="1"/>
    <x v="0"/>
    <n v="1"/>
    <n v="69.989999999999995"/>
    <n v="0"/>
    <n v="69.989999999999995"/>
    <n v="0"/>
  </r>
  <r>
    <x v="28"/>
    <x v="25"/>
    <s v=""/>
    <x v="30"/>
    <x v="3"/>
    <x v="2"/>
    <n v="1"/>
    <n v="129.99"/>
    <n v="0"/>
    <n v="129.99"/>
    <n v="0"/>
  </r>
  <r>
    <x v="29"/>
    <x v="26"/>
    <s v=""/>
    <x v="31"/>
    <x v="4"/>
    <x v="1"/>
    <n v="4"/>
    <n v="1.49"/>
    <n v="0"/>
    <n v="5.96"/>
    <n v="0"/>
  </r>
  <r>
    <x v="30"/>
    <x v="27"/>
    <s v=""/>
    <x v="32"/>
    <x v="0"/>
    <x v="3"/>
    <n v="1"/>
    <n v="799.99"/>
    <n v="0.1"/>
    <n v="719.99099999999999"/>
    <n v="79.999000000000009"/>
  </r>
  <r>
    <x v="31"/>
    <x v="28"/>
    <s v=""/>
    <x v="33"/>
    <x v="2"/>
    <x v="0"/>
    <n v="1"/>
    <n v="59.99"/>
    <n v="0"/>
    <n v="59.99"/>
    <n v="0"/>
  </r>
  <r>
    <x v="32"/>
    <x v="29"/>
    <s v=""/>
    <x v="34"/>
    <x v="1"/>
    <x v="2"/>
    <n v="3"/>
    <n v="7.99"/>
    <n v="0"/>
    <n v="23.97"/>
    <n v="0"/>
  </r>
  <r>
    <x v="33"/>
    <x v="30"/>
    <s v=""/>
    <x v="20"/>
    <x v="3"/>
    <x v="1"/>
    <n v="1"/>
    <n v="89.99"/>
    <n v="0"/>
    <n v="89.99"/>
    <n v="0"/>
  </r>
  <r>
    <x v="34"/>
    <x v="31"/>
    <s v=""/>
    <x v="35"/>
    <x v="4"/>
    <x v="3"/>
    <n v="8"/>
    <n v="0.99"/>
    <n v="0"/>
    <n v="7.92"/>
    <n v="0"/>
  </r>
  <r>
    <x v="35"/>
    <x v="32"/>
    <s v=""/>
    <x v="36"/>
    <x v="0"/>
    <x v="0"/>
    <n v="1"/>
    <n v="39.99"/>
    <n v="0"/>
    <n v="39.99"/>
    <n v="0"/>
  </r>
  <r>
    <x v="36"/>
    <x v="33"/>
    <s v=""/>
    <x v="37"/>
    <x v="2"/>
    <x v="2"/>
    <n v="1"/>
    <n v="149.99"/>
    <n v="0.1"/>
    <n v="134.99100000000001"/>
    <n v="14.999000000000002"/>
  </r>
  <r>
    <x v="37"/>
    <x v="34"/>
    <s v=""/>
    <x v="1"/>
    <x v="1"/>
    <x v="1"/>
    <n v="2"/>
    <n v="14.99"/>
    <n v="0"/>
    <n v="29.98"/>
    <n v="0"/>
  </r>
  <r>
    <x v="38"/>
    <x v="35"/>
    <s v=""/>
    <x v="9"/>
    <x v="3"/>
    <x v="3"/>
    <n v="1"/>
    <n v="149.99"/>
    <n v="0.15"/>
    <n v="127.4915"/>
    <n v="22.4985"/>
  </r>
  <r>
    <x v="39"/>
    <x v="36"/>
    <s v=""/>
    <x v="38"/>
    <x v="4"/>
    <x v="0"/>
    <n v="5"/>
    <n v="0.79"/>
    <n v="0"/>
    <n v="3.95"/>
    <n v="0"/>
  </r>
  <r>
    <x v="40"/>
    <x v="37"/>
    <s v=""/>
    <x v="39"/>
    <x v="0"/>
    <x v="2"/>
    <n v="1"/>
    <n v="599.99"/>
    <n v="0.1"/>
    <n v="539.99099999999999"/>
    <n v="59.999000000000002"/>
  </r>
  <r>
    <x v="41"/>
    <x v="38"/>
    <s v=""/>
    <x v="10"/>
    <x v="2"/>
    <x v="1"/>
    <n v="1"/>
    <n v="49.99"/>
    <n v="0"/>
    <n v="49.99"/>
    <n v="0"/>
  </r>
  <r>
    <x v="42"/>
    <x v="39"/>
    <s v=""/>
    <x v="40"/>
    <x v="1"/>
    <x v="3"/>
    <n v="3"/>
    <n v="9.99"/>
    <n v="0"/>
    <n v="29.97"/>
    <n v="0"/>
  </r>
  <r>
    <x v="43"/>
    <x v="40"/>
    <s v=""/>
    <x v="6"/>
    <x v="3"/>
    <x v="0"/>
    <n v="2"/>
    <n v="22.5"/>
    <n v="0"/>
    <n v="45"/>
    <n v="0"/>
  </r>
  <r>
    <x v="44"/>
    <x v="41"/>
    <s v=""/>
    <x v="7"/>
    <x v="4"/>
    <x v="2"/>
    <n v="4"/>
    <n v="2.99"/>
    <n v="0"/>
    <n v="11.96"/>
    <n v="0"/>
  </r>
  <r>
    <x v="45"/>
    <x v="42"/>
    <s v=""/>
    <x v="41"/>
    <x v="0"/>
    <x v="1"/>
    <n v="1"/>
    <n v="29.99"/>
    <n v="0"/>
    <n v="29.99"/>
    <n v="0"/>
  </r>
  <r>
    <x v="46"/>
    <x v="43"/>
    <s v=""/>
    <x v="14"/>
    <x v="2"/>
    <x v="3"/>
    <n v="1"/>
    <n v="89.99"/>
    <n v="0.05"/>
    <n v="85.490499999999997"/>
    <n v="4.4995000000000003"/>
  </r>
  <r>
    <x v="47"/>
    <x v="44"/>
    <s v=""/>
    <x v="15"/>
    <x v="1"/>
    <x v="0"/>
    <n v="1"/>
    <n v="499.99"/>
    <n v="0.2"/>
    <n v="399.99200000000002"/>
    <n v="99.998000000000005"/>
  </r>
  <r>
    <x v="48"/>
    <x v="45"/>
    <s v=""/>
    <x v="25"/>
    <x v="3"/>
    <x v="2"/>
    <n v="1"/>
    <n v="199.99"/>
    <n v="0.1"/>
    <n v="179.99100000000001"/>
    <n v="19.999000000000002"/>
  </r>
  <r>
    <x v="49"/>
    <x v="28"/>
    <s v=""/>
    <x v="0"/>
    <x v="0"/>
    <x v="0"/>
    <n v="1"/>
    <n v="15.99"/>
    <n v="0"/>
    <n v="15.99"/>
    <n v="0"/>
  </r>
  <r>
    <x v="49"/>
    <x v="28"/>
    <s v=""/>
    <x v="0"/>
    <x v="0"/>
    <x v="0"/>
    <n v="1"/>
    <n v="15.99"/>
    <n v="0"/>
    <n v="15.99"/>
    <n v="0"/>
  </r>
  <r>
    <x v="50"/>
    <x v="28"/>
    <s v=""/>
    <x v="14"/>
    <x v="2"/>
    <x v="2"/>
    <n v="1"/>
    <n v="89.99"/>
    <n v="0.05"/>
    <n v="85.490499999999997"/>
    <n v="4.4995000000000003"/>
  </r>
  <r>
    <x v="50"/>
    <x v="28"/>
    <s v=""/>
    <x v="14"/>
    <x v="2"/>
    <x v="2"/>
    <n v="1"/>
    <n v="89.99"/>
    <n v="0.05"/>
    <n v="85.490499999999997"/>
    <n v="4.4995000000000003"/>
  </r>
  <r>
    <x v="51"/>
    <x v="29"/>
    <s v=""/>
    <x v="3"/>
    <x v="1"/>
    <x v="1"/>
    <n v="2"/>
    <n v="59.99"/>
    <n v="0"/>
    <n v="119.98"/>
    <n v="0"/>
  </r>
  <r>
    <x v="51"/>
    <x v="29"/>
    <s v=""/>
    <x v="3"/>
    <x v="1"/>
    <x v="1"/>
    <n v="2"/>
    <n v="59.99"/>
    <n v="0"/>
    <n v="119.98"/>
    <n v="0"/>
  </r>
  <r>
    <x v="51"/>
    <x v="29"/>
    <s v=""/>
    <x v="4"/>
    <x v="1"/>
    <x v="2"/>
    <n v="2"/>
    <n v="9.99"/>
    <n v="0"/>
    <n v="19.98"/>
    <n v="0"/>
  </r>
  <r>
    <x v="51"/>
    <x v="29"/>
    <s v=""/>
    <x v="4"/>
    <x v="1"/>
    <x v="2"/>
    <n v="2"/>
    <n v="9.99"/>
    <n v="0"/>
    <n v="19.98"/>
    <n v="0"/>
  </r>
  <r>
    <x v="52"/>
    <x v="29"/>
    <s v=""/>
    <x v="6"/>
    <x v="3"/>
    <x v="3"/>
    <n v="1"/>
    <n v="22.5"/>
    <n v="0"/>
    <n v="22.5"/>
    <n v="0"/>
  </r>
  <r>
    <x v="52"/>
    <x v="29"/>
    <s v=""/>
    <x v="6"/>
    <x v="3"/>
    <x v="3"/>
    <n v="1"/>
    <n v="22.5"/>
    <n v="0"/>
    <n v="22.5"/>
    <n v="0"/>
  </r>
  <r>
    <x v="53"/>
    <x v="30"/>
    <s v=""/>
    <x v="7"/>
    <x v="4"/>
    <x v="0"/>
    <n v="6"/>
    <n v="2.99"/>
    <n v="0"/>
    <n v="17.940000000000001"/>
    <n v="0"/>
  </r>
  <r>
    <x v="53"/>
    <x v="30"/>
    <s v=""/>
    <x v="7"/>
    <x v="4"/>
    <x v="0"/>
    <n v="6"/>
    <n v="2.99"/>
    <n v="0"/>
    <n v="17.940000000000001"/>
    <n v="0"/>
  </r>
  <r>
    <x v="54"/>
    <x v="30"/>
    <s v=""/>
    <x v="5"/>
    <x v="0"/>
    <x v="2"/>
    <n v="1"/>
    <n v="129.99"/>
    <n v="0.1"/>
    <n v="116.99100000000001"/>
    <n v="12.999000000000002"/>
  </r>
  <r>
    <x v="54"/>
    <x v="30"/>
    <s v=""/>
    <x v="5"/>
    <x v="0"/>
    <x v="2"/>
    <n v="1"/>
    <n v="129.99"/>
    <n v="0.1"/>
    <n v="116.99100000000001"/>
    <n v="12.999000000000002"/>
  </r>
  <r>
    <x v="55"/>
    <x v="31"/>
    <s v=""/>
    <x v="1"/>
    <x v="1"/>
    <x v="1"/>
    <n v="1"/>
    <n v="14.99"/>
    <n v="0"/>
    <n v="14.99"/>
    <n v="0"/>
  </r>
  <r>
    <x v="55"/>
    <x v="31"/>
    <s v=""/>
    <x v="10"/>
    <x v="2"/>
    <x v="1"/>
    <n v="1"/>
    <n v="49.99"/>
    <n v="0"/>
    <n v="49.99"/>
    <n v="0"/>
  </r>
  <r>
    <x v="55"/>
    <x v="31"/>
    <s v=""/>
    <x v="10"/>
    <x v="2"/>
    <x v="1"/>
    <n v="1"/>
    <n v="49.99"/>
    <n v="0"/>
    <n v="49.99"/>
    <n v="0"/>
  </r>
  <r>
    <x v="56"/>
    <x v="31"/>
    <s v=""/>
    <x v="9"/>
    <x v="3"/>
    <x v="3"/>
    <n v="1"/>
    <n v="149.99"/>
    <n v="0.15"/>
    <n v="127.4915"/>
    <n v="22.4985"/>
  </r>
  <r>
    <x v="56"/>
    <x v="31"/>
    <s v=""/>
    <x v="9"/>
    <x v="3"/>
    <x v="3"/>
    <n v="1"/>
    <n v="149.99"/>
    <n v="0.15"/>
    <n v="127.4915"/>
    <n v="22.4985"/>
  </r>
  <r>
    <x v="57"/>
    <x v="32"/>
    <s v=""/>
    <x v="11"/>
    <x v="0"/>
    <x v="0"/>
    <n v="2"/>
    <n v="39.99"/>
    <n v="0"/>
    <n v="79.98"/>
    <n v="0"/>
  </r>
  <r>
    <x v="57"/>
    <x v="32"/>
    <s v=""/>
    <x v="11"/>
    <x v="0"/>
    <x v="0"/>
    <n v="2"/>
    <n v="39.99"/>
    <n v="0"/>
    <n v="79.98"/>
    <n v="0"/>
  </r>
  <r>
    <x v="58"/>
    <x v="32"/>
    <s v=""/>
    <x v="4"/>
    <x v="1"/>
    <x v="2"/>
    <n v="1"/>
    <n v="9.99"/>
    <n v="0"/>
    <n v="9.99"/>
    <n v="0"/>
  </r>
  <r>
    <x v="59"/>
    <x v="33"/>
    <s v=""/>
    <x v="12"/>
    <x v="4"/>
    <x v="1"/>
    <n v="12"/>
    <n v="0.99"/>
    <n v="0"/>
    <n v="11.879999999999999"/>
    <n v="0"/>
  </r>
  <r>
    <x v="59"/>
    <x v="33"/>
    <s v=""/>
    <x v="12"/>
    <x v="4"/>
    <x v="1"/>
    <n v="12"/>
    <n v="0.99"/>
    <n v="0"/>
    <n v="11.879999999999999"/>
    <n v="0"/>
  </r>
  <r>
    <x v="60"/>
    <x v="33"/>
    <s v=""/>
    <x v="13"/>
    <x v="0"/>
    <x v="3"/>
    <n v="1"/>
    <n v="199.99"/>
    <n v="0.1"/>
    <n v="179.99100000000001"/>
    <n v="19.999000000000002"/>
  </r>
  <r>
    <x v="60"/>
    <x v="33"/>
    <s v=""/>
    <x v="13"/>
    <x v="0"/>
    <x v="3"/>
    <n v="1"/>
    <n v="199.99"/>
    <n v="0.1"/>
    <n v="179.99100000000001"/>
    <n v="19.999000000000002"/>
  </r>
  <r>
    <x v="61"/>
    <x v="34"/>
    <s v=""/>
    <x v="8"/>
    <x v="3"/>
    <x v="0"/>
    <n v="1"/>
    <n v="12.99"/>
    <n v="0"/>
    <n v="12.99"/>
    <n v="0"/>
  </r>
  <r>
    <x v="61"/>
    <x v="34"/>
    <s v=""/>
    <x v="8"/>
    <x v="3"/>
    <x v="0"/>
    <n v="1"/>
    <n v="12.99"/>
    <n v="0"/>
    <n v="12.99"/>
    <n v="0"/>
  </r>
  <r>
    <x v="62"/>
    <x v="34"/>
    <s v=""/>
    <x v="18"/>
    <x v="2"/>
    <x v="2"/>
    <n v="1"/>
    <n v="129.99"/>
    <n v="0"/>
    <n v="129.99"/>
    <n v="0"/>
  </r>
  <r>
    <x v="62"/>
    <x v="34"/>
    <s v=""/>
    <x v="18"/>
    <x v="2"/>
    <x v="2"/>
    <n v="1"/>
    <n v="129.99"/>
    <n v="0"/>
    <n v="129.99"/>
    <n v="0"/>
  </r>
  <r>
    <x v="63"/>
    <x v="35"/>
    <s v=""/>
    <x v="19"/>
    <x v="1"/>
    <x v="1"/>
    <n v="2"/>
    <n v="19.989999999999998"/>
    <n v="0"/>
    <n v="39.979999999999997"/>
    <n v="0"/>
  </r>
  <r>
    <x v="63"/>
    <x v="35"/>
    <s v=""/>
    <x v="19"/>
    <x v="1"/>
    <x v="1"/>
    <n v="2"/>
    <n v="19.989999999999998"/>
    <n v="0"/>
    <n v="39.979999999999997"/>
    <n v="0"/>
  </r>
  <r>
    <x v="64"/>
    <x v="35"/>
    <s v=""/>
    <x v="20"/>
    <x v="3"/>
    <x v="3"/>
    <n v="1"/>
    <n v="89.99"/>
    <n v="0"/>
    <n v="89.99"/>
    <n v="0"/>
  </r>
  <r>
    <x v="64"/>
    <x v="35"/>
    <s v=""/>
    <x v="20"/>
    <x v="3"/>
    <x v="3"/>
    <n v="1"/>
    <n v="89.99"/>
    <n v="0"/>
    <n v="89.99"/>
    <n v="0"/>
  </r>
  <r>
    <x v="65"/>
    <x v="36"/>
    <s v=""/>
    <x v="21"/>
    <x v="4"/>
    <x v="0"/>
    <n v="3"/>
    <n v="5.99"/>
    <n v="0"/>
    <n v="17.97"/>
    <n v="0"/>
  </r>
  <r>
    <x v="65"/>
    <x v="36"/>
    <s v=""/>
    <x v="21"/>
    <x v="4"/>
    <x v="0"/>
    <n v="3"/>
    <n v="5.99"/>
    <n v="0"/>
    <n v="17.97"/>
    <n v="0"/>
  </r>
  <r>
    <x v="66"/>
    <x v="36"/>
    <s v=""/>
    <x v="22"/>
    <x v="0"/>
    <x v="2"/>
    <n v="1"/>
    <n v="249.99"/>
    <n v="0.15"/>
    <n v="212.4915"/>
    <n v="37.4985"/>
  </r>
  <r>
    <x v="66"/>
    <x v="36"/>
    <s v=""/>
    <x v="22"/>
    <x v="0"/>
    <x v="2"/>
    <n v="1"/>
    <n v="249.99"/>
    <n v="0.15"/>
    <n v="212.4915"/>
    <n v="37.4985"/>
  </r>
  <r>
    <x v="67"/>
    <x v="37"/>
    <s v=""/>
    <x v="23"/>
    <x v="2"/>
    <x v="1"/>
    <n v="1"/>
    <n v="29.99"/>
    <n v="0"/>
    <n v="29.99"/>
    <n v="0"/>
  </r>
  <r>
    <x v="67"/>
    <x v="37"/>
    <s v=""/>
    <x v="23"/>
    <x v="2"/>
    <x v="1"/>
    <n v="1"/>
    <n v="29.99"/>
    <n v="0"/>
    <n v="29.99"/>
    <n v="0"/>
  </r>
  <r>
    <x v="68"/>
    <x v="37"/>
    <s v=""/>
    <x v="24"/>
    <x v="1"/>
    <x v="3"/>
    <n v="2"/>
    <n v="24.99"/>
    <n v="0"/>
    <n v="49.98"/>
    <n v="0"/>
  </r>
  <r>
    <x v="68"/>
    <x v="37"/>
    <s v=""/>
    <x v="24"/>
    <x v="1"/>
    <x v="3"/>
    <n v="2"/>
    <n v="24.99"/>
    <n v="0"/>
    <n v="49.98"/>
    <n v="0"/>
  </r>
  <r>
    <x v="69"/>
    <x v="38"/>
    <s v=""/>
    <x v="25"/>
    <x v="3"/>
    <x v="0"/>
    <n v="1"/>
    <n v="199.99"/>
    <n v="0.1"/>
    <n v="179.99100000000001"/>
    <n v="19.999000000000002"/>
  </r>
  <r>
    <x v="69"/>
    <x v="38"/>
    <s v=""/>
    <x v="25"/>
    <x v="3"/>
    <x v="0"/>
    <n v="1"/>
    <n v="199.99"/>
    <n v="0.1"/>
    <n v="179.99100000000001"/>
    <n v="19.999000000000002"/>
  </r>
  <r>
    <x v="70"/>
    <x v="38"/>
    <s v=""/>
    <x v="26"/>
    <x v="4"/>
    <x v="2"/>
    <n v="8"/>
    <n v="1.99"/>
    <n v="0"/>
    <n v="15.92"/>
    <n v="0"/>
  </r>
  <r>
    <x v="70"/>
    <x v="38"/>
    <s v=""/>
    <x v="26"/>
    <x v="4"/>
    <x v="2"/>
    <n v="8"/>
    <n v="1.99"/>
    <n v="0"/>
    <n v="15.92"/>
    <n v="0"/>
  </r>
  <r>
    <x v="71"/>
    <x v="39"/>
    <s v=""/>
    <x v="27"/>
    <x v="0"/>
    <x v="1"/>
    <n v="1"/>
    <n v="49.99"/>
    <n v="0"/>
    <n v="49.99"/>
    <n v="0"/>
  </r>
  <r>
    <x v="71"/>
    <x v="39"/>
    <s v=""/>
    <x v="27"/>
    <x v="0"/>
    <x v="1"/>
    <n v="1"/>
    <n v="49.99"/>
    <n v="0"/>
    <n v="49.99"/>
    <n v="0"/>
  </r>
  <r>
    <x v="72"/>
    <x v="39"/>
    <s v=""/>
    <x v="28"/>
    <x v="2"/>
    <x v="3"/>
    <n v="1"/>
    <n v="99.99"/>
    <n v="0.05"/>
    <n v="94.990499999999997"/>
    <n v="4.9995000000000003"/>
  </r>
  <r>
    <x v="72"/>
    <x v="39"/>
    <s v=""/>
    <x v="28"/>
    <x v="2"/>
    <x v="3"/>
    <n v="1"/>
    <n v="99.99"/>
    <n v="0.05"/>
    <n v="94.990499999999997"/>
    <n v="4.9995000000000003"/>
  </r>
  <r>
    <x v="73"/>
    <x v="40"/>
    <s v=""/>
    <x v="29"/>
    <x v="1"/>
    <x v="0"/>
    <n v="1"/>
    <n v="69.989999999999995"/>
    <n v="0"/>
    <n v="69.989999999999995"/>
    <n v="0"/>
  </r>
  <r>
    <x v="73"/>
    <x v="40"/>
    <s v=""/>
    <x v="29"/>
    <x v="1"/>
    <x v="0"/>
    <n v="1"/>
    <n v="69.989999999999995"/>
    <n v="0"/>
    <n v="69.989999999999995"/>
    <n v="0"/>
  </r>
  <r>
    <x v="74"/>
    <x v="40"/>
    <s v=""/>
    <x v="30"/>
    <x v="3"/>
    <x v="2"/>
    <n v="1"/>
    <n v="129.99"/>
    <n v="0"/>
    <n v="129.99"/>
    <n v="0"/>
  </r>
  <r>
    <x v="74"/>
    <x v="40"/>
    <s v=""/>
    <x v="30"/>
    <x v="3"/>
    <x v="2"/>
    <n v="1"/>
    <n v="129.99"/>
    <n v="0"/>
    <n v="129.99"/>
    <n v="0"/>
  </r>
  <r>
    <x v="75"/>
    <x v="41"/>
    <s v=""/>
    <x v="1"/>
    <x v="1"/>
    <x v="1"/>
    <n v="1"/>
    <n v="14.99"/>
    <n v="0"/>
    <n v="14.99"/>
    <n v="0"/>
  </r>
  <r>
    <x v="75"/>
    <x v="41"/>
    <s v=""/>
    <x v="1"/>
    <x v="1"/>
    <x v="1"/>
    <n v="1"/>
    <n v="14.99"/>
    <n v="0"/>
    <n v="14.99"/>
    <n v="0"/>
  </r>
  <r>
    <x v="75"/>
    <x v="41"/>
    <s v=""/>
    <x v="31"/>
    <x v="4"/>
    <x v="1"/>
    <n v="5"/>
    <n v="1.49"/>
    <n v="0"/>
    <n v="7.45"/>
    <n v="0"/>
  </r>
  <r>
    <x v="75"/>
    <x v="41"/>
    <s v=""/>
    <x v="31"/>
    <x v="4"/>
    <x v="1"/>
    <n v="5"/>
    <n v="1.49"/>
    <n v="0"/>
    <n v="7.45"/>
    <n v="0"/>
  </r>
  <r>
    <x v="76"/>
    <x v="41"/>
    <s v=""/>
    <x v="1"/>
    <x v="1"/>
    <x v="1"/>
    <n v="1"/>
    <n v="14.99"/>
    <n v="0"/>
    <n v="14.99"/>
    <n v="0"/>
  </r>
  <r>
    <x v="76"/>
    <x v="41"/>
    <s v=""/>
    <x v="1"/>
    <x v="1"/>
    <x v="1"/>
    <n v="1"/>
    <n v="14.99"/>
    <n v="0"/>
    <n v="14.99"/>
    <n v="0"/>
  </r>
  <r>
    <x v="76"/>
    <x v="41"/>
    <s v=""/>
    <x v="32"/>
    <x v="0"/>
    <x v="3"/>
    <n v="1"/>
    <n v="799.99"/>
    <n v="0.1"/>
    <n v="719.99099999999999"/>
    <n v="79.999000000000009"/>
  </r>
  <r>
    <x v="76"/>
    <x v="41"/>
    <s v=""/>
    <x v="32"/>
    <x v="0"/>
    <x v="3"/>
    <n v="1"/>
    <n v="799.99"/>
    <n v="0.1"/>
    <n v="719.99099999999999"/>
    <n v="79.999000000000009"/>
  </r>
  <r>
    <x v="77"/>
    <x v="42"/>
    <s v=""/>
    <x v="33"/>
    <x v="2"/>
    <x v="0"/>
    <n v="1"/>
    <n v="59.99"/>
    <n v="0"/>
    <n v="59.99"/>
    <n v="0"/>
  </r>
  <r>
    <x v="77"/>
    <x v="42"/>
    <s v=""/>
    <x v="33"/>
    <x v="2"/>
    <x v="0"/>
    <n v="1"/>
    <n v="59.99"/>
    <n v="0"/>
    <n v="59.99"/>
    <n v="0"/>
  </r>
  <r>
    <x v="78"/>
    <x v="42"/>
    <s v=""/>
    <x v="34"/>
    <x v="1"/>
    <x v="2"/>
    <n v="4"/>
    <n v="7.99"/>
    <n v="0"/>
    <n v="31.96"/>
    <n v="0"/>
  </r>
  <r>
    <x v="78"/>
    <x v="42"/>
    <s v=""/>
    <x v="34"/>
    <x v="1"/>
    <x v="2"/>
    <n v="4"/>
    <n v="7.99"/>
    <n v="0"/>
    <n v="31.96"/>
    <n v="0"/>
  </r>
  <r>
    <x v="79"/>
    <x v="43"/>
    <s v=""/>
    <x v="20"/>
    <x v="3"/>
    <x v="1"/>
    <n v="1"/>
    <n v="89.99"/>
    <n v="0"/>
    <n v="89.99"/>
    <n v="0"/>
  </r>
  <r>
    <x v="79"/>
    <x v="43"/>
    <s v=""/>
    <x v="20"/>
    <x v="3"/>
    <x v="1"/>
    <n v="1"/>
    <n v="89.99"/>
    <n v="0"/>
    <n v="89.99"/>
    <n v="0"/>
  </r>
  <r>
    <x v="80"/>
    <x v="43"/>
    <s v=""/>
    <x v="35"/>
    <x v="4"/>
    <x v="3"/>
    <n v="10"/>
    <n v="0.99"/>
    <n v="0"/>
    <n v="9.9"/>
    <n v="0"/>
  </r>
  <r>
    <x v="80"/>
    <x v="43"/>
    <s v=""/>
    <x v="35"/>
    <x v="4"/>
    <x v="3"/>
    <n v="10"/>
    <n v="0.99"/>
    <n v="0"/>
    <n v="9.9"/>
    <n v="0"/>
  </r>
  <r>
    <x v="81"/>
    <x v="44"/>
    <s v=""/>
    <x v="36"/>
    <x v="0"/>
    <x v="0"/>
    <n v="1"/>
    <n v="39.99"/>
    <n v="0"/>
    <n v="39.99"/>
    <n v="0"/>
  </r>
  <r>
    <x v="81"/>
    <x v="44"/>
    <s v=""/>
    <x v="36"/>
    <x v="0"/>
    <x v="0"/>
    <n v="1"/>
    <n v="39.99"/>
    <n v="0"/>
    <n v="39.99"/>
    <n v="0"/>
  </r>
  <r>
    <x v="82"/>
    <x v="44"/>
    <s v=""/>
    <x v="37"/>
    <x v="2"/>
    <x v="2"/>
    <n v="1"/>
    <n v="149.99"/>
    <n v="0.1"/>
    <n v="134.99100000000001"/>
    <n v="14.999000000000002"/>
  </r>
  <r>
    <x v="82"/>
    <x v="44"/>
    <s v=""/>
    <x v="37"/>
    <x v="2"/>
    <x v="2"/>
    <n v="1"/>
    <n v="149.99"/>
    <n v="0.1"/>
    <n v="134.99100000000001"/>
    <n v="14.999000000000002"/>
  </r>
  <r>
    <x v="83"/>
    <x v="45"/>
    <s v=""/>
    <x v="1"/>
    <x v="1"/>
    <x v="1"/>
    <n v="1"/>
    <n v="14.99"/>
    <n v="0"/>
    <n v="14.99"/>
    <n v="0"/>
  </r>
  <r>
    <x v="83"/>
    <x v="45"/>
    <s v=""/>
    <x v="1"/>
    <x v="1"/>
    <x v="1"/>
    <n v="1"/>
    <n v="14.99"/>
    <n v="0"/>
    <n v="14.99"/>
    <n v="0"/>
  </r>
  <r>
    <x v="84"/>
    <x v="45"/>
    <s v=""/>
    <x v="9"/>
    <x v="3"/>
    <x v="3"/>
    <n v="1"/>
    <n v="149.99"/>
    <n v="0.15"/>
    <n v="127.4915"/>
    <n v="22.4985"/>
  </r>
  <r>
    <x v="84"/>
    <x v="45"/>
    <s v=""/>
    <x v="9"/>
    <x v="3"/>
    <x v="3"/>
    <n v="1"/>
    <n v="149.99"/>
    <n v="0.15"/>
    <n v="127.4915"/>
    <n v="22.4985"/>
  </r>
  <r>
    <x v="85"/>
    <x v="46"/>
    <s v=""/>
    <x v="38"/>
    <x v="4"/>
    <x v="0"/>
    <n v="7"/>
    <n v="0.79"/>
    <n v="0"/>
    <n v="5.53"/>
    <n v="0"/>
  </r>
  <r>
    <x v="85"/>
    <x v="46"/>
    <s v=""/>
    <x v="38"/>
    <x v="4"/>
    <x v="0"/>
    <n v="7"/>
    <n v="0.79"/>
    <n v="0"/>
    <n v="5.53"/>
    <n v="0"/>
  </r>
  <r>
    <x v="86"/>
    <x v="46"/>
    <s v=""/>
    <x v="39"/>
    <x v="0"/>
    <x v="2"/>
    <n v="1"/>
    <n v="599.99"/>
    <n v="0.1"/>
    <n v="539.99099999999999"/>
    <n v="59.999000000000002"/>
  </r>
  <r>
    <x v="86"/>
    <x v="46"/>
    <s v=""/>
    <x v="39"/>
    <x v="0"/>
    <x v="2"/>
    <n v="1"/>
    <n v="599.99"/>
    <n v="0.1"/>
    <n v="539.99099999999999"/>
    <n v="59.999000000000002"/>
  </r>
  <r>
    <x v="87"/>
    <x v="47"/>
    <s v=""/>
    <x v="10"/>
    <x v="2"/>
    <x v="1"/>
    <n v="2"/>
    <n v="49.99"/>
    <n v="0"/>
    <n v="99.98"/>
    <n v="0"/>
  </r>
  <r>
    <x v="87"/>
    <x v="47"/>
    <s v=""/>
    <x v="10"/>
    <x v="2"/>
    <x v="1"/>
    <n v="2"/>
    <n v="49.99"/>
    <n v="0"/>
    <n v="99.98"/>
    <n v="0"/>
  </r>
  <r>
    <x v="88"/>
    <x v="47"/>
    <s v=""/>
    <x v="40"/>
    <x v="1"/>
    <x v="3"/>
    <n v="3"/>
    <n v="9.99"/>
    <n v="0"/>
    <n v="29.97"/>
    <n v="0"/>
  </r>
  <r>
    <x v="88"/>
    <x v="47"/>
    <s v=""/>
    <x v="40"/>
    <x v="1"/>
    <x v="3"/>
    <n v="3"/>
    <n v="9.99"/>
    <n v="0"/>
    <n v="29.97"/>
    <n v="0"/>
  </r>
  <r>
    <x v="89"/>
    <x v="48"/>
    <s v=""/>
    <x v="6"/>
    <x v="3"/>
    <x v="0"/>
    <n v="1"/>
    <n v="22.5"/>
    <n v="0"/>
    <n v="22.5"/>
    <n v="0"/>
  </r>
  <r>
    <x v="89"/>
    <x v="48"/>
    <s v=""/>
    <x v="6"/>
    <x v="3"/>
    <x v="0"/>
    <n v="1"/>
    <n v="22.5"/>
    <n v="0"/>
    <n v="22.5"/>
    <n v="0"/>
  </r>
  <r>
    <x v="90"/>
    <x v="48"/>
    <s v=""/>
    <x v="7"/>
    <x v="4"/>
    <x v="2"/>
    <n v="5"/>
    <n v="2.99"/>
    <n v="0"/>
    <n v="14.950000000000001"/>
    <n v="0"/>
  </r>
  <r>
    <x v="90"/>
    <x v="48"/>
    <s v=""/>
    <x v="7"/>
    <x v="4"/>
    <x v="2"/>
    <n v="5"/>
    <n v="2.99"/>
    <n v="0"/>
    <n v="14.950000000000001"/>
    <n v="0"/>
  </r>
  <r>
    <x v="91"/>
    <x v="49"/>
    <s v=""/>
    <x v="41"/>
    <x v="0"/>
    <x v="1"/>
    <n v="1"/>
    <n v="29.99"/>
    <n v="0"/>
    <n v="29.99"/>
    <n v="0"/>
  </r>
  <r>
    <x v="91"/>
    <x v="49"/>
    <s v=""/>
    <x v="41"/>
    <x v="0"/>
    <x v="1"/>
    <n v="1"/>
    <n v="29.99"/>
    <n v="0"/>
    <n v="29.99"/>
    <n v="0"/>
  </r>
  <r>
    <x v="92"/>
    <x v="49"/>
    <s v=""/>
    <x v="14"/>
    <x v="2"/>
    <x v="3"/>
    <n v="1"/>
    <n v="89.99"/>
    <n v="0.05"/>
    <n v="85.490499999999997"/>
    <n v="4.4995000000000003"/>
  </r>
  <r>
    <x v="92"/>
    <x v="49"/>
    <s v=""/>
    <x v="14"/>
    <x v="2"/>
    <x v="3"/>
    <n v="1"/>
    <n v="89.99"/>
    <n v="0.05"/>
    <n v="85.490499999999997"/>
    <n v="4.4995000000000003"/>
  </r>
  <r>
    <x v="93"/>
    <x v="50"/>
    <s v=""/>
    <x v="15"/>
    <x v="1"/>
    <x v="0"/>
    <n v="1"/>
    <n v="499.99"/>
    <n v="0.2"/>
    <n v="399.99200000000002"/>
    <n v="99.998000000000005"/>
  </r>
  <r>
    <x v="93"/>
    <x v="50"/>
    <s v=""/>
    <x v="15"/>
    <x v="1"/>
    <x v="0"/>
    <n v="1"/>
    <n v="499.99"/>
    <n v="0.2"/>
    <n v="399.99200000000002"/>
    <n v="99.998000000000005"/>
  </r>
  <r>
    <x v="94"/>
    <x v="50"/>
    <s v=""/>
    <x v="25"/>
    <x v="3"/>
    <x v="2"/>
    <n v="1"/>
    <n v="199.99"/>
    <n v="0.1"/>
    <n v="179.99100000000001"/>
    <n v="19.999000000000002"/>
  </r>
  <r>
    <x v="94"/>
    <x v="50"/>
    <s v=""/>
    <x v="25"/>
    <x v="3"/>
    <x v="2"/>
    <n v="1"/>
    <n v="199.99"/>
    <n v="0.1"/>
    <n v="179.99100000000001"/>
    <n v="19.999000000000002"/>
  </r>
  <r>
    <x v="95"/>
    <x v="51"/>
    <s v=""/>
    <x v="16"/>
    <x v="4"/>
    <x v="1"/>
    <n v="4"/>
    <n v="4.99"/>
    <n v="0"/>
    <n v="19.96"/>
    <n v="0"/>
  </r>
  <r>
    <x v="95"/>
    <x v="51"/>
    <s v=""/>
    <x v="16"/>
    <x v="4"/>
    <x v="1"/>
    <n v="4"/>
    <n v="4.99"/>
    <n v="0"/>
    <n v="19.96"/>
    <n v="0"/>
  </r>
  <r>
    <x v="96"/>
    <x v="51"/>
    <s v=""/>
    <x v="17"/>
    <x v="0"/>
    <x v="3"/>
    <n v="1"/>
    <n v="29.99"/>
    <n v="0"/>
    <n v="29.99"/>
    <n v="0"/>
  </r>
  <r>
    <x v="96"/>
    <x v="51"/>
    <s v=""/>
    <x v="17"/>
    <x v="0"/>
    <x v="3"/>
    <n v="1"/>
    <n v="29.99"/>
    <n v="0"/>
    <n v="29.99"/>
    <n v="0"/>
  </r>
  <r>
    <x v="97"/>
    <x v="52"/>
    <s v=""/>
    <x v="18"/>
    <x v="2"/>
    <x v="0"/>
    <n v="1"/>
    <n v="129.99"/>
    <n v="0"/>
    <n v="129.99"/>
    <n v="0"/>
  </r>
  <r>
    <x v="97"/>
    <x v="52"/>
    <s v=""/>
    <x v="18"/>
    <x v="2"/>
    <x v="0"/>
    <n v="1"/>
    <n v="129.99"/>
    <n v="0"/>
    <n v="129.99"/>
    <n v="0"/>
  </r>
  <r>
    <x v="98"/>
    <x v="52"/>
    <s v=""/>
    <x v="4"/>
    <x v="1"/>
    <x v="2"/>
    <n v="5"/>
    <n v="9.99"/>
    <n v="0"/>
    <n v="49.95"/>
    <n v="0"/>
  </r>
  <r>
    <x v="99"/>
    <x v="53"/>
    <s v=""/>
    <x v="0"/>
    <x v="0"/>
    <x v="0"/>
    <n v="2"/>
    <n v="15.99"/>
    <n v="0"/>
    <n v="31.98"/>
    <n v="0"/>
  </r>
  <r>
    <x v="100"/>
    <x v="53"/>
    <s v=""/>
    <x v="14"/>
    <x v="2"/>
    <x v="2"/>
    <n v="1"/>
    <n v="89.99"/>
    <n v="0.05"/>
    <n v="85.490499999999997"/>
    <n v="4.4995000000000003"/>
  </r>
  <r>
    <x v="101"/>
    <x v="54"/>
    <s v=""/>
    <x v="3"/>
    <x v="1"/>
    <x v="1"/>
    <n v="1"/>
    <n v="59.99"/>
    <n v="0"/>
    <n v="59.99"/>
    <n v="0"/>
  </r>
  <r>
    <x v="101"/>
    <x v="54"/>
    <s v=""/>
    <x v="4"/>
    <x v="1"/>
    <x v="2"/>
    <n v="2"/>
    <n v="9.99"/>
    <n v="0"/>
    <n v="19.98"/>
    <n v="0"/>
  </r>
  <r>
    <x v="102"/>
    <x v="54"/>
    <s v=""/>
    <x v="6"/>
    <x v="3"/>
    <x v="3"/>
    <n v="2"/>
    <n v="22.5"/>
    <n v="0"/>
    <n v="45"/>
    <n v="0"/>
  </r>
  <r>
    <x v="103"/>
    <x v="55"/>
    <s v=""/>
    <x v="7"/>
    <x v="4"/>
    <x v="0"/>
    <n v="4"/>
    <n v="2.99"/>
    <n v="0"/>
    <n v="11.96"/>
    <n v="0"/>
  </r>
  <r>
    <x v="104"/>
    <x v="55"/>
    <s v=""/>
    <x v="5"/>
    <x v="0"/>
    <x v="2"/>
    <n v="1"/>
    <n v="129.99"/>
    <n v="0.1"/>
    <n v="116.99100000000001"/>
    <n v="12.999000000000002"/>
  </r>
  <r>
    <x v="105"/>
    <x v="56"/>
    <s v=""/>
    <x v="10"/>
    <x v="2"/>
    <x v="1"/>
    <n v="1"/>
    <n v="49.99"/>
    <n v="0"/>
    <n v="49.99"/>
    <n v="0"/>
  </r>
  <r>
    <x v="106"/>
    <x v="56"/>
    <s v=""/>
    <x v="9"/>
    <x v="3"/>
    <x v="3"/>
    <n v="1"/>
    <n v="149.99"/>
    <n v="0.15"/>
    <n v="127.4915"/>
    <n v="22.4985"/>
  </r>
  <r>
    <x v="107"/>
    <x v="57"/>
    <s v=""/>
    <x v="11"/>
    <x v="0"/>
    <x v="0"/>
    <n v="1"/>
    <n v="39.99"/>
    <n v="0"/>
    <n v="39.99"/>
    <n v="0"/>
  </r>
  <r>
    <x v="108"/>
    <x v="58"/>
    <s v=""/>
    <x v="12"/>
    <x v="4"/>
    <x v="1"/>
    <n v="15"/>
    <n v="0.99"/>
    <n v="0"/>
    <n v="14.85"/>
    <n v="0"/>
  </r>
  <r>
    <x v="109"/>
    <x v="58"/>
    <s v=""/>
    <x v="13"/>
    <x v="0"/>
    <x v="3"/>
    <n v="1"/>
    <n v="199.99"/>
    <n v="0.1"/>
    <n v="179.99100000000001"/>
    <n v="19.999000000000002"/>
  </r>
  <r>
    <x v="109"/>
    <x v="58"/>
    <s v=""/>
    <x v="18"/>
    <x v="2"/>
    <x v="2"/>
    <n v="1"/>
    <n v="129.99"/>
    <n v="0.2"/>
    <n v="103.99200000000002"/>
    <n v="25.998000000000005"/>
  </r>
  <r>
    <x v="110"/>
    <x v="59"/>
    <s v=""/>
    <x v="8"/>
    <x v="3"/>
    <x v="0"/>
    <n v="2"/>
    <n v="12.99"/>
    <n v="0"/>
    <n v="25.98"/>
    <n v="0"/>
  </r>
  <r>
    <x v="111"/>
    <x v="59"/>
    <s v=""/>
    <x v="18"/>
    <x v="2"/>
    <x v="2"/>
    <n v="1"/>
    <n v="129.99"/>
    <n v="0.2"/>
    <n v="103.99200000000002"/>
    <n v="25.998000000000005"/>
  </r>
  <r>
    <x v="112"/>
    <x v="60"/>
    <s v=""/>
    <x v="1"/>
    <x v="1"/>
    <x v="1"/>
    <n v="1"/>
    <n v="14.99"/>
    <n v="0"/>
    <n v="14.99"/>
    <n v="0"/>
  </r>
  <r>
    <x v="112"/>
    <x v="60"/>
    <s v=""/>
    <x v="19"/>
    <x v="1"/>
    <x v="1"/>
    <n v="3"/>
    <n v="19.989999999999998"/>
    <n v="0"/>
    <n v="59.97"/>
    <n v="0"/>
  </r>
  <r>
    <x v="113"/>
    <x v="60"/>
    <s v=""/>
    <x v="20"/>
    <x v="3"/>
    <x v="3"/>
    <n v="1"/>
    <n v="89.99"/>
    <n v="0"/>
    <n v="89.99"/>
    <n v="0"/>
  </r>
  <r>
    <x v="114"/>
    <x v="61"/>
    <s v=""/>
    <x v="21"/>
    <x v="4"/>
    <x v="0"/>
    <n v="2"/>
    <n v="5.99"/>
    <n v="0"/>
    <n v="11.98"/>
    <n v="0"/>
  </r>
  <r>
    <x v="115"/>
    <x v="61"/>
    <s v=""/>
    <x v="22"/>
    <x v="0"/>
    <x v="2"/>
    <n v="1"/>
    <n v="249.99"/>
    <n v="0.15"/>
    <n v="212.4915"/>
    <n v="37.4985"/>
  </r>
  <r>
    <x v="116"/>
    <x v="62"/>
    <s v=""/>
    <x v="23"/>
    <x v="2"/>
    <x v="1"/>
    <n v="1"/>
    <n v="29.99"/>
    <n v="0"/>
    <n v="29.99"/>
    <n v="0"/>
  </r>
  <r>
    <x v="117"/>
    <x v="62"/>
    <s v=""/>
    <x v="24"/>
    <x v="1"/>
    <x v="3"/>
    <n v="1"/>
    <n v="24.99"/>
    <n v="0"/>
    <n v="24.99"/>
    <n v="0"/>
  </r>
  <r>
    <x v="118"/>
    <x v="63"/>
    <s v=""/>
    <x v="25"/>
    <x v="3"/>
    <x v="0"/>
    <n v="1"/>
    <n v="199.99"/>
    <n v="0.1"/>
    <n v="179.99100000000001"/>
    <n v="19.999000000000002"/>
  </r>
  <r>
    <x v="119"/>
    <x v="63"/>
    <s v=""/>
    <x v="26"/>
    <x v="4"/>
    <x v="2"/>
    <n v="10"/>
    <n v="1.99"/>
    <n v="0"/>
    <n v="19.899999999999999"/>
    <n v="0"/>
  </r>
  <r>
    <x v="120"/>
    <x v="64"/>
    <s v=""/>
    <x v="27"/>
    <x v="0"/>
    <x v="1"/>
    <n v="1"/>
    <n v="49.99"/>
    <n v="0"/>
    <n v="49.99"/>
    <n v="0"/>
  </r>
  <r>
    <x v="121"/>
    <x v="64"/>
    <s v=""/>
    <x v="28"/>
    <x v="2"/>
    <x v="3"/>
    <n v="1"/>
    <n v="99.99"/>
    <n v="0.05"/>
    <n v="94.990499999999997"/>
    <n v="4.9995000000000003"/>
  </r>
  <r>
    <x v="121"/>
    <x v="64"/>
    <s v=""/>
    <x v="18"/>
    <x v="2"/>
    <x v="0"/>
    <n v="1"/>
    <n v="129.99"/>
    <n v="0.2"/>
    <n v="103.99200000000002"/>
    <n v="25.998000000000005"/>
  </r>
  <r>
    <x v="122"/>
    <x v="65"/>
    <s v=""/>
    <x v="29"/>
    <x v="1"/>
    <x v="0"/>
    <n v="1"/>
    <n v="69.989999999999995"/>
    <n v="0"/>
    <n v="69.989999999999995"/>
    <n v="0"/>
  </r>
  <r>
    <x v="123"/>
    <x v="65"/>
    <s v=""/>
    <x v="30"/>
    <x v="3"/>
    <x v="2"/>
    <n v="1"/>
    <n v="129.99"/>
    <n v="0"/>
    <n v="129.99"/>
    <n v="0"/>
  </r>
  <r>
    <x v="124"/>
    <x v="66"/>
    <s v=""/>
    <x v="31"/>
    <x v="4"/>
    <x v="1"/>
    <n v="6"/>
    <n v="1.49"/>
    <n v="0"/>
    <n v="8.94"/>
    <n v="0"/>
  </r>
  <r>
    <x v="124"/>
    <x v="66"/>
    <s v=""/>
    <x v="18"/>
    <x v="2"/>
    <x v="2"/>
    <n v="1"/>
    <n v="129.99"/>
    <n v="0.2"/>
    <n v="103.99200000000002"/>
    <n v="25.998000000000005"/>
  </r>
  <r>
    <x v="125"/>
    <x v="66"/>
    <s v=""/>
    <x v="32"/>
    <x v="0"/>
    <x v="3"/>
    <n v="1"/>
    <n v="799.99"/>
    <n v="0.1"/>
    <n v="719.99099999999999"/>
    <n v="79.999000000000009"/>
  </r>
  <r>
    <x v="126"/>
    <x v="67"/>
    <s v=""/>
    <x v="33"/>
    <x v="2"/>
    <x v="0"/>
    <n v="1"/>
    <n v="59.99"/>
    <n v="0"/>
    <n v="59.99"/>
    <n v="0"/>
  </r>
  <r>
    <x v="126"/>
    <x v="67"/>
    <s v=""/>
    <x v="18"/>
    <x v="2"/>
    <x v="0"/>
    <n v="1"/>
    <n v="129.99"/>
    <n v="0.2"/>
    <n v="103.99200000000002"/>
    <n v="25.998000000000005"/>
  </r>
  <r>
    <x v="127"/>
    <x v="67"/>
    <s v=""/>
    <x v="34"/>
    <x v="1"/>
    <x v="2"/>
    <n v="2"/>
    <n v="7.99"/>
    <n v="0"/>
    <n v="15.98"/>
    <n v="0"/>
  </r>
  <r>
    <x v="128"/>
    <x v="68"/>
    <s v=""/>
    <x v="20"/>
    <x v="3"/>
    <x v="1"/>
    <n v="1"/>
    <n v="89.99"/>
    <n v="0"/>
    <n v="89.99"/>
    <n v="0"/>
  </r>
  <r>
    <x v="129"/>
    <x v="68"/>
    <s v=""/>
    <x v="35"/>
    <x v="4"/>
    <x v="3"/>
    <n v="12"/>
    <n v="0.99"/>
    <n v="0"/>
    <n v="11.879999999999999"/>
    <n v="0"/>
  </r>
  <r>
    <x v="130"/>
    <x v="69"/>
    <s v=""/>
    <x v="36"/>
    <x v="0"/>
    <x v="0"/>
    <n v="1"/>
    <n v="39.99"/>
    <n v="0"/>
    <n v="39.99"/>
    <n v="0"/>
  </r>
  <r>
    <x v="131"/>
    <x v="69"/>
    <s v=""/>
    <x v="37"/>
    <x v="2"/>
    <x v="2"/>
    <n v="1"/>
    <n v="149.99"/>
    <n v="0.1"/>
    <n v="134.99100000000001"/>
    <n v="14.999000000000002"/>
  </r>
  <r>
    <x v="132"/>
    <x v="70"/>
    <s v=""/>
    <x v="1"/>
    <x v="1"/>
    <x v="1"/>
    <n v="2"/>
    <n v="14.99"/>
    <n v="0"/>
    <n v="29.98"/>
    <n v="0"/>
  </r>
  <r>
    <x v="133"/>
    <x v="70"/>
    <s v=""/>
    <x v="9"/>
    <x v="3"/>
    <x v="3"/>
    <n v="1"/>
    <n v="149.99"/>
    <n v="0.15"/>
    <n v="127.4915"/>
    <n v="22.4985"/>
  </r>
  <r>
    <x v="134"/>
    <x v="71"/>
    <s v=""/>
    <x v="38"/>
    <x v="4"/>
    <x v="0"/>
    <n v="8"/>
    <n v="0.79"/>
    <n v="0"/>
    <n v="6.32"/>
    <n v="0"/>
  </r>
  <r>
    <x v="135"/>
    <x v="71"/>
    <s v=""/>
    <x v="39"/>
    <x v="0"/>
    <x v="2"/>
    <n v="1"/>
    <n v="599.99"/>
    <n v="0.1"/>
    <n v="539.99099999999999"/>
    <n v="59.999000000000002"/>
  </r>
  <r>
    <x v="136"/>
    <x v="72"/>
    <s v=""/>
    <x v="10"/>
    <x v="2"/>
    <x v="1"/>
    <n v="1"/>
    <n v="49.99"/>
    <n v="0"/>
    <n v="49.99"/>
    <n v="0"/>
  </r>
  <r>
    <x v="137"/>
    <x v="72"/>
    <s v=""/>
    <x v="40"/>
    <x v="1"/>
    <x v="3"/>
    <n v="4"/>
    <n v="9.99"/>
    <n v="0"/>
    <n v="39.96"/>
    <n v="0"/>
  </r>
  <r>
    <x v="138"/>
    <x v="73"/>
    <s v=""/>
    <x v="6"/>
    <x v="3"/>
    <x v="0"/>
    <n v="1"/>
    <n v="22.5"/>
    <n v="0"/>
    <n v="22.5"/>
    <n v="0"/>
  </r>
  <r>
    <x v="139"/>
    <x v="73"/>
    <s v=""/>
    <x v="7"/>
    <x v="4"/>
    <x v="2"/>
    <n v="6"/>
    <n v="2.99"/>
    <n v="0"/>
    <n v="17.940000000000001"/>
    <n v="0"/>
  </r>
  <r>
    <x v="140"/>
    <x v="74"/>
    <s v=""/>
    <x v="41"/>
    <x v="0"/>
    <x v="1"/>
    <n v="1"/>
    <n v="29.99"/>
    <n v="0"/>
    <n v="29.99"/>
    <n v="0"/>
  </r>
  <r>
    <x v="141"/>
    <x v="74"/>
    <s v=""/>
    <x v="14"/>
    <x v="2"/>
    <x v="3"/>
    <n v="1"/>
    <n v="89.99"/>
    <n v="0.05"/>
    <n v="85.490499999999997"/>
    <n v="4.4995000000000003"/>
  </r>
  <r>
    <x v="142"/>
    <x v="75"/>
    <s v=""/>
    <x v="15"/>
    <x v="1"/>
    <x v="0"/>
    <n v="1"/>
    <n v="499.99"/>
    <n v="0.2"/>
    <n v="399.99200000000002"/>
    <n v="99.998000000000005"/>
  </r>
  <r>
    <x v="143"/>
    <x v="75"/>
    <s v=""/>
    <x v="25"/>
    <x v="3"/>
    <x v="2"/>
    <n v="1"/>
    <n v="199.99"/>
    <n v="0.1"/>
    <n v="179.99100000000001"/>
    <n v="19.999000000000002"/>
  </r>
  <r>
    <x v="144"/>
    <x v="76"/>
    <s v=""/>
    <x v="16"/>
    <x v="4"/>
    <x v="1"/>
    <n v="3"/>
    <n v="4.99"/>
    <n v="0"/>
    <n v="14.97"/>
    <n v="0"/>
  </r>
  <r>
    <x v="145"/>
    <x v="76"/>
    <s v=""/>
    <x v="17"/>
    <x v="0"/>
    <x v="3"/>
    <n v="1"/>
    <n v="29.99"/>
    <n v="0"/>
    <n v="29.99"/>
    <n v="0"/>
  </r>
  <r>
    <x v="146"/>
    <x v="77"/>
    <s v=""/>
    <x v="18"/>
    <x v="2"/>
    <x v="0"/>
    <n v="1"/>
    <n v="129.99"/>
    <n v="0.2"/>
    <n v="103.99200000000002"/>
    <n v="25.998000000000005"/>
  </r>
  <r>
    <x v="147"/>
    <x v="77"/>
    <s v=""/>
    <x v="4"/>
    <x v="1"/>
    <x v="2"/>
    <n v="4"/>
    <n v="9.99"/>
    <n v="0"/>
    <n v="39.9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6DAEB-332D-47E1-80A0-BDCB8F08D3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13">
    <pivotField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measureFilter="1" sortType="ascending">
      <items count="43">
        <item x="14"/>
        <item x="37"/>
        <item x="1"/>
        <item x="10"/>
        <item x="20"/>
        <item x="2"/>
        <item x="6"/>
        <item x="8"/>
        <item x="24"/>
        <item x="38"/>
        <item x="30"/>
        <item x="11"/>
        <item x="31"/>
        <item x="34"/>
        <item x="17"/>
        <item x="32"/>
        <item x="5"/>
        <item x="26"/>
        <item x="28"/>
        <item x="41"/>
        <item x="7"/>
        <item x="9"/>
        <item x="25"/>
        <item x="16"/>
        <item x="12"/>
        <item x="3"/>
        <item x="33"/>
        <item x="39"/>
        <item x="13"/>
        <item x="21"/>
        <item x="35"/>
        <item x="22"/>
        <item x="29"/>
        <item x="23"/>
        <item x="15"/>
        <item x="18"/>
        <item x="4"/>
        <item x="27"/>
        <item x="36"/>
        <item x="0"/>
        <item x="40"/>
        <item x="19"/>
        <item t="default"/>
      </items>
      <autoSortScope>
        <pivotArea dataOnly="0" outline="0" fieldPosition="0">
          <references count="1">
            <reference field="4294967294" count="1" selected="0">
              <x v="0"/>
            </reference>
          </references>
        </pivotArea>
      </autoSortScope>
    </pivotField>
    <pivotField axis="axisRow" showAll="0">
      <items count="6">
        <item x="0"/>
        <item x="3"/>
        <item x="2"/>
        <item x="1"/>
        <item x="4"/>
        <item t="default"/>
      </items>
    </pivotField>
    <pivotField showAll="0">
      <items count="5">
        <item x="1"/>
        <item x="0"/>
        <item x="2"/>
        <item x="3"/>
        <item t="default"/>
      </items>
    </pivotField>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Fields count="1">
    <field x="-2"/>
  </colFields>
  <colItems count="2">
    <i>
      <x/>
    </i>
    <i i="1">
      <x v="1"/>
    </i>
  </colItems>
  <dataFields count="2">
    <dataField name="Sum of Total Sales" fld="9" baseField="0" baseItem="0"/>
    <dataField name="Sum of Discount Amount" fld="10"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valueGreaterThan" evalOrder="-1" id="2" iMeasureFld="1">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908304-3C1B-4969-92A3-5E5EA9D2504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3">
    <pivotField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items count="6">
        <item x="0"/>
        <item x="3"/>
        <item x="2"/>
        <item x="1"/>
        <item x="4"/>
        <item t="default"/>
      </items>
    </pivotField>
    <pivotField axis="axisRow" showAll="0">
      <items count="5">
        <item x="1"/>
        <item x="0"/>
        <item x="2"/>
        <item x="3"/>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Discount Amount" fld="10" baseField="0" baseItem="0"/>
  </dataFields>
  <pivotTableStyleInfo name="PivotStyleLight16" showRowHeaders="1" showColHeaders="1" showRowStripes="0" showColStripes="0" showLastColumn="1"/>
  <filters count="1">
    <filter fld="1" type="dateBetween" evalOrder="-1" id="7" name="Order 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314C85-5151-46B5-A27A-C84EFD46398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4" firstHeaderRow="1" firstDataRow="1" firstDataCol="1"/>
  <pivotFields count="13">
    <pivotField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axis="axisRow" showAll="0" measureFilter="1" sortType="descending">
      <items count="43">
        <item x="14"/>
        <item x="37"/>
        <item x="1"/>
        <item x="10"/>
        <item x="20"/>
        <item x="2"/>
        <item x="6"/>
        <item x="8"/>
        <item x="24"/>
        <item x="38"/>
        <item x="30"/>
        <item x="11"/>
        <item x="31"/>
        <item x="34"/>
        <item x="17"/>
        <item x="32"/>
        <item x="5"/>
        <item x="26"/>
        <item x="28"/>
        <item x="41"/>
        <item x="7"/>
        <item x="9"/>
        <item x="25"/>
        <item x="16"/>
        <item x="12"/>
        <item x="3"/>
        <item x="33"/>
        <item x="39"/>
        <item x="13"/>
        <item x="21"/>
        <item x="35"/>
        <item x="22"/>
        <item x="29"/>
        <item x="23"/>
        <item x="15"/>
        <item x="18"/>
        <item x="4"/>
        <item x="27"/>
        <item x="36"/>
        <item x="0"/>
        <item x="40"/>
        <item x="19"/>
        <item t="default"/>
      </items>
      <autoSortScope>
        <pivotArea dataOnly="0" outline="0" fieldPosition="0">
          <references count="1">
            <reference field="4294967294" count="1" selected="0">
              <x v="0"/>
            </reference>
          </references>
        </pivotArea>
      </autoSortScope>
    </pivotField>
    <pivotField showAll="0">
      <items count="6">
        <item x="0"/>
        <item x="3"/>
        <item x="2"/>
        <item x="1"/>
        <item x="4"/>
        <item t="default"/>
      </items>
    </pivotField>
    <pivotField showAll="0">
      <items count="5">
        <item x="1"/>
        <item x="0"/>
        <item x="2"/>
        <item x="3"/>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15"/>
    </i>
    <i>
      <x v="27"/>
    </i>
    <i>
      <x v="34"/>
    </i>
    <i>
      <x v="22"/>
    </i>
    <i>
      <x v="35"/>
    </i>
    <i>
      <x v="21"/>
    </i>
    <i>
      <x v="31"/>
    </i>
    <i>
      <x v="28"/>
    </i>
    <i>
      <x v="4"/>
    </i>
    <i>
      <x/>
    </i>
    <i t="grand">
      <x/>
    </i>
  </rowItems>
  <colItems count="1">
    <i/>
  </colItems>
  <dataFields count="1">
    <dataField name="Sum of Total Sales" fld="9"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4" name="Order 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B422D-32BD-43A2-A95A-259827B32B2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8" firstHeaderRow="1" firstDataRow="1" firstDataCol="1"/>
  <pivotFields count="13">
    <pivotField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items count="6">
        <item x="0"/>
        <item x="3"/>
        <item x="2"/>
        <item x="1"/>
        <item x="4"/>
        <item t="default"/>
      </items>
    </pivotField>
    <pivotField axis="axisRow" showAll="0">
      <items count="5">
        <item x="1"/>
        <item x="0"/>
        <item x="2"/>
        <item x="3"/>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Total Sales" fld="9" baseField="5" baseItem="0" numFmtId="164"/>
  </dataFields>
  <chartFormats count="5">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5" count="1" selected="0">
            <x v="0"/>
          </reference>
        </references>
      </pivotArea>
    </chartFormat>
    <chartFormat chart="11" format="3">
      <pivotArea type="data" outline="0" fieldPosition="0">
        <references count="2">
          <reference field="4294967294" count="1" selected="0">
            <x v="0"/>
          </reference>
          <reference field="5" count="1" selected="0">
            <x v="1"/>
          </reference>
        </references>
      </pivotArea>
    </chartFormat>
    <chartFormat chart="11" format="4">
      <pivotArea type="data" outline="0" fieldPosition="0">
        <references count="2">
          <reference field="4294967294" count="1" selected="0">
            <x v="0"/>
          </reference>
          <reference field="5" count="1" selected="0">
            <x v="2"/>
          </reference>
        </references>
      </pivotArea>
    </chartFormat>
    <chartFormat chart="11"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1" type="dateBetween" evalOrder="-1" id="7" name="Order 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D0BEDB-C19D-4802-B356-C5741C6EF4F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G9" firstHeaderRow="1" firstDataRow="2" firstDataCol="1"/>
  <pivotFields count="13">
    <pivotField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axis="axisCol" showAll="0" sortType="ascending">
      <items count="6">
        <item x="0"/>
        <item x="3"/>
        <item x="2"/>
        <item x="1"/>
        <item x="4"/>
        <item t="default"/>
      </items>
    </pivotField>
    <pivotField axis="axisRow" showAll="0">
      <items count="5">
        <item x="1"/>
        <item x="0"/>
        <item x="2"/>
        <item x="3"/>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4"/>
  </colFields>
  <colItems count="6">
    <i>
      <x/>
    </i>
    <i>
      <x v="1"/>
    </i>
    <i>
      <x v="2"/>
    </i>
    <i>
      <x v="3"/>
    </i>
    <i>
      <x v="4"/>
    </i>
    <i t="grand">
      <x/>
    </i>
  </colItems>
  <dataFields count="1">
    <dataField name="Total Sales by Categories in Regions" fld="9" baseField="0" baseItem="0" numFmtId="3"/>
  </dataFields>
  <chartFormats count="14">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2"/>
          </reference>
        </references>
      </pivotArea>
    </chartFormat>
    <chartFormat chart="4" format="7" series="1">
      <pivotArea type="data" outline="0" fieldPosition="0">
        <references count="2">
          <reference field="4294967294" count="1" selected="0">
            <x v="0"/>
          </reference>
          <reference field="5" count="1" selected="0">
            <x v="3"/>
          </reference>
        </references>
      </pivotArea>
    </chartFormat>
    <chartFormat chart="4" format="8" series="1">
      <pivotArea type="data" outline="0" fieldPosition="0">
        <references count="2">
          <reference field="4294967294" count="1" selected="0">
            <x v="0"/>
          </reference>
          <reference field="4" count="1" selected="0">
            <x v="4"/>
          </reference>
        </references>
      </pivotArea>
    </chartFormat>
    <chartFormat chart="4" format="9" series="1">
      <pivotArea type="data" outline="0" fieldPosition="0">
        <references count="2">
          <reference field="4294967294" count="1" selected="0">
            <x v="0"/>
          </reference>
          <reference field="4" count="1" selected="0">
            <x v="0"/>
          </reference>
        </references>
      </pivotArea>
    </chartFormat>
    <chartFormat chart="4" format="10" series="1">
      <pivotArea type="data" outline="0" fieldPosition="0">
        <references count="2">
          <reference field="4294967294" count="1" selected="0">
            <x v="0"/>
          </reference>
          <reference field="4" count="1" selected="0">
            <x v="1"/>
          </reference>
        </references>
      </pivotArea>
    </chartFormat>
    <chartFormat chart="4" format="11" series="1">
      <pivotArea type="data" outline="0" fieldPosition="0">
        <references count="2">
          <reference field="4294967294" count="1" selected="0">
            <x v="0"/>
          </reference>
          <reference field="4" count="1" selected="0">
            <x v="2"/>
          </reference>
        </references>
      </pivotArea>
    </chartFormat>
    <chartFormat chart="4" format="12" series="1">
      <pivotArea type="data" outline="0" fieldPosition="0">
        <references count="2">
          <reference field="4294967294" count="1" selected="0">
            <x v="0"/>
          </reference>
          <reference field="4" count="1" selected="0">
            <x v="3"/>
          </reference>
        </references>
      </pivotArea>
    </chartFormat>
    <chartFormat chart="15" format="5" series="1">
      <pivotArea type="data" outline="0" fieldPosition="0">
        <references count="2">
          <reference field="4294967294" count="1" selected="0">
            <x v="0"/>
          </reference>
          <reference field="4" count="1" selected="0">
            <x v="0"/>
          </reference>
        </references>
      </pivotArea>
    </chartFormat>
    <chartFormat chart="15" format="6" series="1">
      <pivotArea type="data" outline="0" fieldPosition="0">
        <references count="2">
          <reference field="4294967294" count="1" selected="0">
            <x v="0"/>
          </reference>
          <reference field="4" count="1" selected="0">
            <x v="1"/>
          </reference>
        </references>
      </pivotArea>
    </chartFormat>
    <chartFormat chart="15" format="7" series="1">
      <pivotArea type="data" outline="0" fieldPosition="0">
        <references count="2">
          <reference field="4294967294" count="1" selected="0">
            <x v="0"/>
          </reference>
          <reference field="4" count="1" selected="0">
            <x v="2"/>
          </reference>
        </references>
      </pivotArea>
    </chartFormat>
    <chartFormat chart="15" format="8" series="1">
      <pivotArea type="data" outline="0" fieldPosition="0">
        <references count="2">
          <reference field="4294967294" count="1" selected="0">
            <x v="0"/>
          </reference>
          <reference field="4" count="1" selected="0">
            <x v="3"/>
          </reference>
        </references>
      </pivotArea>
    </chartFormat>
    <chartFormat chart="15" format="9"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1" type="dateBetween" evalOrder="-1" id="25" name="Order 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537F5D-B221-46EE-80CD-11EFA0F8F6E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52" firstHeaderRow="1" firstDataRow="1" firstDataCol="1"/>
  <pivotFields count="13">
    <pivotField axis="axisRow"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items count="6">
        <item x="0"/>
        <item x="3"/>
        <item x="2"/>
        <item x="1"/>
        <item x="4"/>
        <item t="default"/>
      </items>
    </pivotField>
    <pivotField showAll="0">
      <items count="5">
        <item x="1"/>
        <item x="0"/>
        <item x="2"/>
        <item x="3"/>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t="grand">
      <x/>
    </i>
  </rowItems>
  <colItems count="1">
    <i/>
  </colItems>
  <dataFields count="1">
    <dataField name="Sum of Total Sales" fld="9" baseField="0" baseItem="0"/>
  </dataFields>
  <pivotTableStyleInfo name="PivotStyleLight16" showRowHeaders="1" showColHeaders="1" showRowStripes="0" showColStripes="0" showLastColumn="1"/>
  <filters count="1">
    <filter fld="1" type="dateBetween" evalOrder="-1" id="13" name="Order 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90B3A5-92E9-42BB-805E-B9DB77D5CCB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82" firstHeaderRow="1" firstDataRow="1" firstDataCol="1"/>
  <pivotFields count="13">
    <pivotField showAll="0"/>
    <pivotField numFmtId="14"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items count="6">
        <item x="0"/>
        <item x="3"/>
        <item x="2"/>
        <item x="1"/>
        <item x="4"/>
        <item t="default"/>
      </items>
    </pivotField>
    <pivotField showAll="0">
      <items count="5">
        <item x="1"/>
        <item x="0"/>
        <item x="2"/>
        <item x="3"/>
        <item t="default"/>
      </items>
    </pivotField>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x="1"/>
        <item sd="0" x="2"/>
        <item sd="0" x="3"/>
        <item sd="0" x="4"/>
        <item sd="0" x="5"/>
        <item sd="0" x="6"/>
        <item sd="0" x="7"/>
        <item sd="0" x="8"/>
        <item sd="0" x="9"/>
        <item sd="0" x="10"/>
        <item sd="0" x="11"/>
        <item sd="0" x="12"/>
        <item sd="0" x="13"/>
        <item t="default"/>
      </items>
    </pivotField>
  </pivotFields>
  <rowFields count="1">
    <field x="11"/>
  </rowFields>
  <rowItems count="79">
    <i>
      <x v="3"/>
    </i>
    <i>
      <x v="4"/>
    </i>
    <i>
      <x v="5"/>
    </i>
    <i>
      <x v="6"/>
    </i>
    <i>
      <x v="7"/>
    </i>
    <i>
      <x v="8"/>
    </i>
    <i>
      <x v="9"/>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Sum of Total Sales" fld="9" baseField="10" baseItem="81" numFmtId="3"/>
  </dataFields>
  <formats count="2">
    <format dxfId="91">
      <pivotArea grandRow="1" outline="0" collapsedLevelsAreSubtotals="1" fieldPosition="0"/>
    </format>
    <format dxfId="90">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 name="Order 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95E976-212B-4738-BE05-A66EB920AA8E}" autoFormatId="16" applyNumberFormats="0" applyBorderFormats="0" applyFontFormats="0" applyPatternFormats="0" applyAlignmentFormats="0" applyWidthHeightFormats="0">
  <queryTableRefresh nextId="12">
    <queryTableFields count="11">
      <queryTableField id="1" name="Order ID" tableColumnId="1"/>
      <queryTableField id="2" name="Order Date" tableColumnId="2"/>
      <queryTableField id="3" name="Shipment date" tableColumnId="3"/>
      <queryTableField id="4" name="Product" tableColumnId="4"/>
      <queryTableField id="5" name="Category" tableColumnId="5"/>
      <queryTableField id="6" name="Region" tableColumnId="6"/>
      <queryTableField id="7" name="Quantity" tableColumnId="7"/>
      <queryTableField id="8" name="Unit Price" tableColumnId="8"/>
      <queryTableField id="9" name="Discount" tableColumnId="9"/>
      <queryTableField id="10" name="Total Sales" tableColumnId="10"/>
      <queryTableField id="11" name="Discount Amoun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416270-5869-42FE-A9D6-06C351DD6F29}" sourceName="Category">
  <pivotTables>
    <pivotTable tabId="7" name="PivotTable3"/>
    <pivotTable tabId="5" name="PivotTable2"/>
    <pivotTable tabId="8" name="PivotTable4"/>
    <pivotTable tabId="9" name="PivotTable1"/>
    <pivotTable tabId="10" name="PivotTable2"/>
    <pivotTable tabId="12" name="PivotTable1"/>
    <pivotTable tabId="13" name="PivotTable2"/>
  </pivotTables>
  <data>
    <tabular pivotCacheId="1273271630">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42B2CC-2562-440A-8DEB-4AEF19A38BB5}" sourceName="Region">
  <pivotTables>
    <pivotTable tabId="7" name="PivotTable3"/>
    <pivotTable tabId="5" name="PivotTable2"/>
    <pivotTable tabId="8" name="PivotTable4"/>
    <pivotTable tabId="9" name="PivotTable1"/>
    <pivotTable tabId="10" name="PivotTable2"/>
    <pivotTable tabId="12" name="PivotTable1"/>
    <pivotTable tabId="13" name="PivotTable2"/>
  </pivotTables>
  <data>
    <tabular pivotCacheId="1273271630">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8FE210-55AF-48A9-AE9B-C41F030AD615}" cache="Slicer_Category" caption="Category" style="SlicerStyleDark1" rowHeight="241300"/>
  <slicer name="Region" xr10:uid="{5180D75E-966F-4B67-A7ED-3AAF7FE8721E}" cache="Slicer_Region" caption="Region"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AE76E-0B7B-49E3-821B-D33F9E9756ED}" name="retails_sales" displayName="retails_sales" ref="A1:K214" tableType="queryTable" totalsRowShown="0">
  <autoFilter ref="A1:K214" xr:uid="{A2DAE76E-0B7B-49E3-821B-D33F9E9756ED}"/>
  <tableColumns count="11">
    <tableColumn id="1" xr3:uid="{C57FB5A6-054D-44A0-A90B-D00AF25B21D5}" uniqueName="1" name="Order ID" queryTableFieldId="1"/>
    <tableColumn id="2" xr3:uid="{D757339A-E70A-4EA0-AF50-D5ACDA4C8CA1}" uniqueName="2" name="Order Date" queryTableFieldId="2" dataDxfId="96"/>
    <tableColumn id="3" xr3:uid="{D020BADE-A951-491E-B219-AEC16C75EA9A}" uniqueName="3" name="Shipment date" queryTableFieldId="3" dataDxfId="95"/>
    <tableColumn id="4" xr3:uid="{C768315C-A169-433B-B960-754AEE67FD13}" uniqueName="4" name="Product" queryTableFieldId="4" dataDxfId="94"/>
    <tableColumn id="5" xr3:uid="{DA6005B8-6BD8-4F91-B181-DDC5BAB406E3}" uniqueName="5" name="Category" queryTableFieldId="5" dataDxfId="93"/>
    <tableColumn id="6" xr3:uid="{D3F5836C-F45D-4E4D-B86A-BFD2ECC4B1B7}" uniqueName="6" name="Region" queryTableFieldId="6" dataDxfId="92"/>
    <tableColumn id="7" xr3:uid="{AF486C8F-4265-48DF-9792-3102D7E63399}" uniqueName="7" name="Quantity" queryTableFieldId="7"/>
    <tableColumn id="8" xr3:uid="{547FD93F-67C8-44DF-8483-9584A85663C8}" uniqueName="8" name="Unit Price" queryTableFieldId="8"/>
    <tableColumn id="9" xr3:uid="{A179A552-51D4-44B2-8691-740D92467DD3}" uniqueName="9" name="Discount" queryTableFieldId="9"/>
    <tableColumn id="10" xr3:uid="{CC31928A-6C6B-4193-A0B3-DE6B44840720}" uniqueName="10" name="Total Sales" queryTableFieldId="10"/>
    <tableColumn id="11" xr3:uid="{AF3A1D76-208D-43E2-A105-058A156BC586}" uniqueName="11" name="Discount Amount"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7A3D0BF-6C88-4BB3-B864-FE6E0F29B8A1}" sourceName="Order Date">
  <pivotTables>
    <pivotTable tabId="5" name="PivotTable2"/>
    <pivotTable tabId="9" name="PivotTable1"/>
    <pivotTable tabId="7" name="PivotTable3"/>
    <pivotTable tabId="8" name="PivotTable4"/>
    <pivotTable tabId="12" name="PivotTable1"/>
    <pivotTable tabId="10" name="PivotTable2"/>
  </pivotTables>
  <state minimalRefreshVersion="6" lastRefreshVersion="6" pivotCacheId="1273271630" filterType="dateBetween">
    <selection startDate="2024-01-01T00:00:00" endDate="2024-03-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C348065-9FED-41CA-BA55-CA4F0BCF67D6}" cache="NativeTimeline_Order_Date" caption="Order Date" level="2" selectionLevel="1"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0A2A-27DD-4059-89C6-49D8F51AA27D}">
  <dimension ref="A1:K214"/>
  <sheetViews>
    <sheetView topLeftCell="A2" workbookViewId="0">
      <selection activeCell="C7" sqref="C7"/>
    </sheetView>
  </sheetViews>
  <sheetFormatPr defaultRowHeight="15" x14ac:dyDescent="0.25"/>
  <cols>
    <col min="1" max="1" width="10.7109375" bestFit="1" customWidth="1"/>
    <col min="2" max="2" width="13" bestFit="1" customWidth="1"/>
    <col min="3" max="3" width="16.42578125" bestFit="1" customWidth="1"/>
    <col min="4" max="4" width="17.85546875" bestFit="1" customWidth="1"/>
    <col min="5" max="5" width="16.5703125" bestFit="1" customWidth="1"/>
    <col min="6" max="6" width="9.42578125" bestFit="1" customWidth="1"/>
    <col min="7" max="7" width="11" bestFit="1" customWidth="1"/>
    <col min="8" max="8" width="12" bestFit="1" customWidth="1"/>
    <col min="9" max="9" width="11" bestFit="1" customWidth="1"/>
    <col min="10" max="10" width="12.7109375" bestFit="1" customWidth="1"/>
    <col min="11" max="11" width="18.7109375" bestFit="1" customWidth="1"/>
  </cols>
  <sheetData>
    <row r="1" spans="1:11" x14ac:dyDescent="0.25">
      <c r="A1" t="s">
        <v>0</v>
      </c>
      <c r="B1" t="s">
        <v>1</v>
      </c>
      <c r="C1" t="s">
        <v>64</v>
      </c>
      <c r="D1" t="s">
        <v>2</v>
      </c>
      <c r="E1" t="s">
        <v>3</v>
      </c>
      <c r="F1" t="s">
        <v>4</v>
      </c>
      <c r="G1" t="s">
        <v>5</v>
      </c>
      <c r="H1" t="s">
        <v>6</v>
      </c>
      <c r="I1" t="s">
        <v>7</v>
      </c>
      <c r="J1" t="s">
        <v>8</v>
      </c>
      <c r="K1" t="s">
        <v>151</v>
      </c>
    </row>
    <row r="2" spans="1:11" x14ac:dyDescent="0.25">
      <c r="A2">
        <v>1001</v>
      </c>
      <c r="B2" s="1">
        <v>45294</v>
      </c>
      <c r="C2" t="s">
        <v>65</v>
      </c>
      <c r="D2" t="s">
        <v>9</v>
      </c>
      <c r="E2" t="s">
        <v>10</v>
      </c>
      <c r="F2" t="s">
        <v>11</v>
      </c>
      <c r="G2">
        <v>2</v>
      </c>
      <c r="H2">
        <v>15.99</v>
      </c>
      <c r="I2">
        <v>0</v>
      </c>
      <c r="J2">
        <v>31.98</v>
      </c>
      <c r="K2">
        <v>0</v>
      </c>
    </row>
    <row r="3" spans="1:11" x14ac:dyDescent="0.25">
      <c r="A3">
        <v>1002</v>
      </c>
      <c r="B3" s="1">
        <v>45295</v>
      </c>
      <c r="C3" t="s">
        <v>65</v>
      </c>
      <c r="D3" t="s">
        <v>55</v>
      </c>
      <c r="E3" t="s">
        <v>16</v>
      </c>
      <c r="F3" t="s">
        <v>17</v>
      </c>
      <c r="G3">
        <v>1</v>
      </c>
      <c r="H3">
        <v>14.99</v>
      </c>
      <c r="I3">
        <v>0</v>
      </c>
      <c r="J3">
        <v>14.99</v>
      </c>
      <c r="K3">
        <v>0</v>
      </c>
    </row>
    <row r="4" spans="1:11" x14ac:dyDescent="0.25">
      <c r="A4">
        <v>1002</v>
      </c>
      <c r="B4" s="1">
        <v>45295</v>
      </c>
      <c r="C4" t="s">
        <v>65</v>
      </c>
      <c r="D4" t="s">
        <v>12</v>
      </c>
      <c r="E4" t="s">
        <v>13</v>
      </c>
      <c r="F4" t="s">
        <v>14</v>
      </c>
      <c r="G4">
        <v>1</v>
      </c>
      <c r="H4">
        <v>79.989999999999995</v>
      </c>
      <c r="I4">
        <v>0.1</v>
      </c>
      <c r="J4">
        <v>71.991</v>
      </c>
      <c r="K4">
        <v>7.9989999999999997</v>
      </c>
    </row>
    <row r="5" spans="1:11" x14ac:dyDescent="0.25">
      <c r="A5">
        <v>1003</v>
      </c>
      <c r="B5" s="1">
        <v>45296</v>
      </c>
      <c r="C5" t="s">
        <v>65</v>
      </c>
      <c r="D5" t="s">
        <v>15</v>
      </c>
      <c r="E5" t="s">
        <v>16</v>
      </c>
      <c r="F5" t="s">
        <v>17</v>
      </c>
      <c r="G5">
        <v>1</v>
      </c>
      <c r="H5">
        <v>59.99</v>
      </c>
      <c r="I5">
        <v>0</v>
      </c>
      <c r="J5">
        <v>59.99</v>
      </c>
      <c r="K5">
        <v>0</v>
      </c>
    </row>
    <row r="6" spans="1:11" x14ac:dyDescent="0.25">
      <c r="A6">
        <v>1003</v>
      </c>
      <c r="B6" s="1">
        <v>45296</v>
      </c>
      <c r="C6" t="s">
        <v>65</v>
      </c>
      <c r="D6" t="s">
        <v>27</v>
      </c>
      <c r="E6" t="s">
        <v>16</v>
      </c>
      <c r="F6" t="s">
        <v>14</v>
      </c>
      <c r="G6">
        <v>2</v>
      </c>
      <c r="H6">
        <v>9.99</v>
      </c>
      <c r="I6">
        <v>0</v>
      </c>
      <c r="J6">
        <v>19.98</v>
      </c>
      <c r="K6">
        <v>0</v>
      </c>
    </row>
    <row r="7" spans="1:11" x14ac:dyDescent="0.25">
      <c r="A7">
        <v>1004</v>
      </c>
      <c r="B7" s="1">
        <v>45297</v>
      </c>
      <c r="C7" t="s">
        <v>65</v>
      </c>
      <c r="D7" t="s">
        <v>18</v>
      </c>
      <c r="E7" t="s">
        <v>10</v>
      </c>
      <c r="F7" t="s">
        <v>19</v>
      </c>
      <c r="G7">
        <v>1</v>
      </c>
      <c r="H7">
        <v>129.99</v>
      </c>
      <c r="I7">
        <v>0.05</v>
      </c>
      <c r="J7">
        <v>123.4905</v>
      </c>
      <c r="K7">
        <v>6.4995000000000012</v>
      </c>
    </row>
    <row r="8" spans="1:11" x14ac:dyDescent="0.25">
      <c r="A8">
        <v>1005</v>
      </c>
      <c r="B8" s="1">
        <v>45297</v>
      </c>
      <c r="C8" t="s">
        <v>65</v>
      </c>
      <c r="D8" t="s">
        <v>20</v>
      </c>
      <c r="E8" t="s">
        <v>21</v>
      </c>
      <c r="F8" t="s">
        <v>11</v>
      </c>
      <c r="G8">
        <v>3</v>
      </c>
      <c r="H8">
        <v>22.5</v>
      </c>
      <c r="I8">
        <v>0</v>
      </c>
      <c r="J8">
        <v>67.5</v>
      </c>
      <c r="K8">
        <v>0</v>
      </c>
    </row>
    <row r="9" spans="1:11" x14ac:dyDescent="0.25">
      <c r="A9">
        <v>1006</v>
      </c>
      <c r="B9" s="1">
        <v>45298</v>
      </c>
      <c r="C9" t="s">
        <v>65</v>
      </c>
      <c r="D9" t="s">
        <v>22</v>
      </c>
      <c r="E9" t="s">
        <v>23</v>
      </c>
      <c r="F9" t="s">
        <v>14</v>
      </c>
      <c r="G9">
        <v>5</v>
      </c>
      <c r="H9">
        <v>2.99</v>
      </c>
      <c r="I9">
        <v>0</v>
      </c>
      <c r="J9">
        <v>14.950000000000001</v>
      </c>
      <c r="K9">
        <v>0</v>
      </c>
    </row>
    <row r="10" spans="1:11" x14ac:dyDescent="0.25">
      <c r="A10">
        <v>1007</v>
      </c>
      <c r="B10" s="1">
        <v>45298</v>
      </c>
      <c r="C10" t="s">
        <v>65</v>
      </c>
      <c r="D10" t="s">
        <v>20</v>
      </c>
      <c r="E10" t="s">
        <v>21</v>
      </c>
      <c r="F10" t="s">
        <v>11</v>
      </c>
      <c r="G10">
        <v>1</v>
      </c>
      <c r="H10">
        <v>22.5</v>
      </c>
      <c r="I10">
        <v>0</v>
      </c>
      <c r="J10">
        <v>22.5</v>
      </c>
      <c r="K10">
        <v>0</v>
      </c>
    </row>
    <row r="11" spans="1:11" x14ac:dyDescent="0.25">
      <c r="A11">
        <v>1007</v>
      </c>
      <c r="B11" s="1">
        <v>45298</v>
      </c>
      <c r="C11" t="s">
        <v>65</v>
      </c>
      <c r="D11" t="s">
        <v>30</v>
      </c>
      <c r="E11" t="s">
        <v>21</v>
      </c>
      <c r="F11" t="s">
        <v>11</v>
      </c>
      <c r="G11">
        <v>1</v>
      </c>
      <c r="H11">
        <v>12.99</v>
      </c>
      <c r="I11">
        <v>0</v>
      </c>
      <c r="J11">
        <v>12.99</v>
      </c>
      <c r="K11">
        <v>0</v>
      </c>
    </row>
    <row r="12" spans="1:11" x14ac:dyDescent="0.25">
      <c r="A12">
        <v>1007</v>
      </c>
      <c r="B12" s="1">
        <v>45298</v>
      </c>
      <c r="C12" t="s">
        <v>65</v>
      </c>
      <c r="D12" t="s">
        <v>24</v>
      </c>
      <c r="E12" t="s">
        <v>21</v>
      </c>
      <c r="F12" t="s">
        <v>17</v>
      </c>
      <c r="G12">
        <v>1</v>
      </c>
      <c r="H12">
        <v>149.99</v>
      </c>
      <c r="I12">
        <v>0.15</v>
      </c>
      <c r="J12">
        <v>127.4915</v>
      </c>
      <c r="K12">
        <v>22.4985</v>
      </c>
    </row>
    <row r="13" spans="1:11" x14ac:dyDescent="0.25">
      <c r="A13">
        <v>1008</v>
      </c>
      <c r="B13" s="1">
        <v>45299</v>
      </c>
      <c r="C13" t="s">
        <v>65</v>
      </c>
      <c r="D13" t="s">
        <v>25</v>
      </c>
      <c r="E13" t="s">
        <v>13</v>
      </c>
      <c r="F13" t="s">
        <v>19</v>
      </c>
      <c r="G13">
        <v>2</v>
      </c>
      <c r="H13">
        <v>49.99</v>
      </c>
      <c r="I13">
        <v>0</v>
      </c>
      <c r="J13">
        <v>99.98</v>
      </c>
      <c r="K13">
        <v>0</v>
      </c>
    </row>
    <row r="14" spans="1:11" x14ac:dyDescent="0.25">
      <c r="A14">
        <v>1009</v>
      </c>
      <c r="B14" s="1">
        <v>45300</v>
      </c>
      <c r="C14" t="s">
        <v>65</v>
      </c>
      <c r="D14" t="s">
        <v>26</v>
      </c>
      <c r="E14" t="s">
        <v>10</v>
      </c>
      <c r="F14" t="s">
        <v>11</v>
      </c>
      <c r="G14">
        <v>1</v>
      </c>
      <c r="H14">
        <v>39.99</v>
      </c>
      <c r="I14">
        <v>0</v>
      </c>
      <c r="J14">
        <v>39.99</v>
      </c>
      <c r="K14">
        <v>0</v>
      </c>
    </row>
    <row r="15" spans="1:11" x14ac:dyDescent="0.25">
      <c r="A15">
        <v>1011</v>
      </c>
      <c r="B15" s="1">
        <v>45302</v>
      </c>
      <c r="C15" t="s">
        <v>65</v>
      </c>
      <c r="D15" t="s">
        <v>28</v>
      </c>
      <c r="E15" t="s">
        <v>23</v>
      </c>
      <c r="F15" t="s">
        <v>17</v>
      </c>
      <c r="G15">
        <v>10</v>
      </c>
      <c r="H15">
        <v>0.99</v>
      </c>
      <c r="I15">
        <v>0</v>
      </c>
      <c r="J15">
        <v>9.9</v>
      </c>
      <c r="K15">
        <v>0</v>
      </c>
    </row>
    <row r="16" spans="1:11" x14ac:dyDescent="0.25">
      <c r="A16">
        <v>1012</v>
      </c>
      <c r="B16" s="1">
        <v>45303</v>
      </c>
      <c r="C16" t="s">
        <v>65</v>
      </c>
      <c r="D16" t="s">
        <v>29</v>
      </c>
      <c r="E16" t="s">
        <v>10</v>
      </c>
      <c r="F16" t="s">
        <v>19</v>
      </c>
      <c r="G16">
        <v>1</v>
      </c>
      <c r="H16">
        <v>199.99</v>
      </c>
      <c r="I16">
        <v>0.1</v>
      </c>
      <c r="J16">
        <v>179.99100000000001</v>
      </c>
      <c r="K16">
        <v>19.999000000000002</v>
      </c>
    </row>
    <row r="17" spans="1:11" x14ac:dyDescent="0.25">
      <c r="A17">
        <v>1013</v>
      </c>
      <c r="B17" s="1">
        <v>45303</v>
      </c>
      <c r="C17" t="s">
        <v>65</v>
      </c>
      <c r="D17" t="s">
        <v>30</v>
      </c>
      <c r="E17" t="s">
        <v>21</v>
      </c>
      <c r="F17" t="s">
        <v>11</v>
      </c>
      <c r="G17">
        <v>2</v>
      </c>
      <c r="H17">
        <v>12.99</v>
      </c>
      <c r="I17">
        <v>0</v>
      </c>
      <c r="J17">
        <v>25.98</v>
      </c>
      <c r="K17">
        <v>0</v>
      </c>
    </row>
    <row r="18" spans="1:11" x14ac:dyDescent="0.25">
      <c r="A18">
        <v>1014</v>
      </c>
      <c r="B18" s="1">
        <v>45304</v>
      </c>
      <c r="C18" t="s">
        <v>65</v>
      </c>
      <c r="D18" t="s">
        <v>31</v>
      </c>
      <c r="E18" t="s">
        <v>13</v>
      </c>
      <c r="F18" t="s">
        <v>14</v>
      </c>
      <c r="G18">
        <v>1</v>
      </c>
      <c r="H18">
        <v>89.99</v>
      </c>
      <c r="I18">
        <v>0.05</v>
      </c>
      <c r="J18">
        <v>85.490499999999997</v>
      </c>
      <c r="K18">
        <v>4.4995000000000003</v>
      </c>
    </row>
    <row r="19" spans="1:11" x14ac:dyDescent="0.25">
      <c r="A19">
        <v>1015</v>
      </c>
      <c r="B19" s="1">
        <v>45305</v>
      </c>
      <c r="C19" t="s">
        <v>65</v>
      </c>
      <c r="D19" t="s">
        <v>32</v>
      </c>
      <c r="E19" t="s">
        <v>16</v>
      </c>
      <c r="F19" t="s">
        <v>17</v>
      </c>
      <c r="G19">
        <v>1</v>
      </c>
      <c r="H19">
        <v>499.99</v>
      </c>
      <c r="I19">
        <v>0.2</v>
      </c>
      <c r="J19">
        <v>399.99200000000002</v>
      </c>
      <c r="K19">
        <v>99.998000000000005</v>
      </c>
    </row>
    <row r="20" spans="1:11" x14ac:dyDescent="0.25">
      <c r="A20">
        <v>1016</v>
      </c>
      <c r="B20" s="1">
        <v>45306</v>
      </c>
      <c r="C20" t="s">
        <v>65</v>
      </c>
      <c r="D20" t="s">
        <v>33</v>
      </c>
      <c r="E20" t="s">
        <v>23</v>
      </c>
      <c r="F20" t="s">
        <v>19</v>
      </c>
      <c r="G20">
        <v>3</v>
      </c>
      <c r="H20">
        <v>4.99</v>
      </c>
      <c r="I20">
        <v>0</v>
      </c>
      <c r="J20">
        <v>14.97</v>
      </c>
      <c r="K20">
        <v>0</v>
      </c>
    </row>
    <row r="21" spans="1:11" x14ac:dyDescent="0.25">
      <c r="A21">
        <v>1017</v>
      </c>
      <c r="B21" s="1">
        <v>45307</v>
      </c>
      <c r="C21" t="s">
        <v>65</v>
      </c>
      <c r="D21" t="s">
        <v>34</v>
      </c>
      <c r="E21" t="s">
        <v>10</v>
      </c>
      <c r="F21" t="s">
        <v>11</v>
      </c>
      <c r="G21">
        <v>1</v>
      </c>
      <c r="H21">
        <v>29.99</v>
      </c>
      <c r="I21">
        <v>0</v>
      </c>
      <c r="J21">
        <v>29.99</v>
      </c>
      <c r="K21">
        <v>0</v>
      </c>
    </row>
    <row r="22" spans="1:11" x14ac:dyDescent="0.25">
      <c r="A22">
        <v>1018</v>
      </c>
      <c r="B22" s="1">
        <v>45308</v>
      </c>
      <c r="C22" t="s">
        <v>65</v>
      </c>
      <c r="D22" t="s">
        <v>35</v>
      </c>
      <c r="E22" t="s">
        <v>13</v>
      </c>
      <c r="F22" t="s">
        <v>14</v>
      </c>
      <c r="G22">
        <v>1</v>
      </c>
      <c r="H22">
        <v>129.99</v>
      </c>
      <c r="I22">
        <v>0</v>
      </c>
      <c r="J22">
        <v>129.99</v>
      </c>
      <c r="K22">
        <v>0</v>
      </c>
    </row>
    <row r="23" spans="1:11" x14ac:dyDescent="0.25">
      <c r="A23">
        <v>1019</v>
      </c>
      <c r="B23" s="1">
        <v>45309</v>
      </c>
      <c r="C23" t="s">
        <v>65</v>
      </c>
      <c r="D23" t="s">
        <v>36</v>
      </c>
      <c r="E23" t="s">
        <v>16</v>
      </c>
      <c r="F23" t="s">
        <v>17</v>
      </c>
      <c r="G23">
        <v>2</v>
      </c>
      <c r="H23">
        <v>19.989999999999998</v>
      </c>
      <c r="I23">
        <v>0</v>
      </c>
      <c r="J23">
        <v>39.979999999999997</v>
      </c>
      <c r="K23">
        <v>0</v>
      </c>
    </row>
    <row r="24" spans="1:11" x14ac:dyDescent="0.25">
      <c r="A24">
        <v>1020</v>
      </c>
      <c r="B24" s="1">
        <v>45310</v>
      </c>
      <c r="C24" t="s">
        <v>65</v>
      </c>
      <c r="D24" t="s">
        <v>37</v>
      </c>
      <c r="E24" t="s">
        <v>21</v>
      </c>
      <c r="F24" t="s">
        <v>19</v>
      </c>
      <c r="G24">
        <v>1</v>
      </c>
      <c r="H24">
        <v>89.99</v>
      </c>
      <c r="I24">
        <v>0</v>
      </c>
      <c r="J24">
        <v>89.99</v>
      </c>
      <c r="K24">
        <v>0</v>
      </c>
    </row>
    <row r="25" spans="1:11" x14ac:dyDescent="0.25">
      <c r="A25">
        <v>1021</v>
      </c>
      <c r="B25" s="1">
        <v>45311</v>
      </c>
      <c r="C25" t="s">
        <v>65</v>
      </c>
      <c r="D25" t="s">
        <v>38</v>
      </c>
      <c r="E25" t="s">
        <v>23</v>
      </c>
      <c r="F25" t="s">
        <v>11</v>
      </c>
      <c r="G25">
        <v>2</v>
      </c>
      <c r="H25">
        <v>5.99</v>
      </c>
      <c r="I25">
        <v>0</v>
      </c>
      <c r="J25">
        <v>11.98</v>
      </c>
      <c r="K25">
        <v>0</v>
      </c>
    </row>
    <row r="26" spans="1:11" x14ac:dyDescent="0.25">
      <c r="A26">
        <v>1022</v>
      </c>
      <c r="B26" s="1">
        <v>45312</v>
      </c>
      <c r="C26" t="s">
        <v>65</v>
      </c>
      <c r="D26" t="s">
        <v>39</v>
      </c>
      <c r="E26" t="s">
        <v>10</v>
      </c>
      <c r="F26" t="s">
        <v>14</v>
      </c>
      <c r="G26">
        <v>1</v>
      </c>
      <c r="H26">
        <v>249.99</v>
      </c>
      <c r="I26">
        <v>0.15</v>
      </c>
      <c r="J26">
        <v>212.4915</v>
      </c>
      <c r="K26">
        <v>37.4985</v>
      </c>
    </row>
    <row r="27" spans="1:11" x14ac:dyDescent="0.25">
      <c r="A27">
        <v>1023</v>
      </c>
      <c r="B27" s="1">
        <v>45313</v>
      </c>
      <c r="C27" t="s">
        <v>65</v>
      </c>
      <c r="D27" t="s">
        <v>40</v>
      </c>
      <c r="E27" t="s">
        <v>13</v>
      </c>
      <c r="F27" t="s">
        <v>17</v>
      </c>
      <c r="G27">
        <v>1</v>
      </c>
      <c r="H27">
        <v>29.99</v>
      </c>
      <c r="I27">
        <v>0</v>
      </c>
      <c r="J27">
        <v>29.99</v>
      </c>
      <c r="K27">
        <v>0</v>
      </c>
    </row>
    <row r="28" spans="1:11" x14ac:dyDescent="0.25">
      <c r="A28">
        <v>1024</v>
      </c>
      <c r="B28" s="1">
        <v>45314</v>
      </c>
      <c r="C28" t="s">
        <v>65</v>
      </c>
      <c r="D28" t="s">
        <v>41</v>
      </c>
      <c r="E28" t="s">
        <v>16</v>
      </c>
      <c r="F28" t="s">
        <v>19</v>
      </c>
      <c r="G28">
        <v>2</v>
      </c>
      <c r="H28">
        <v>24.99</v>
      </c>
      <c r="I28">
        <v>0</v>
      </c>
      <c r="J28">
        <v>49.98</v>
      </c>
      <c r="K28">
        <v>0</v>
      </c>
    </row>
    <row r="29" spans="1:11" x14ac:dyDescent="0.25">
      <c r="A29">
        <v>1025</v>
      </c>
      <c r="B29" s="1">
        <v>45315</v>
      </c>
      <c r="C29" t="s">
        <v>65</v>
      </c>
      <c r="D29" t="s">
        <v>42</v>
      </c>
      <c r="E29" t="s">
        <v>21</v>
      </c>
      <c r="F29" t="s">
        <v>11</v>
      </c>
      <c r="G29">
        <v>1</v>
      </c>
      <c r="H29">
        <v>199.99</v>
      </c>
      <c r="I29">
        <v>0.1</v>
      </c>
      <c r="J29">
        <v>179.99100000000001</v>
      </c>
      <c r="K29">
        <v>19.999000000000002</v>
      </c>
    </row>
    <row r="30" spans="1:11" x14ac:dyDescent="0.25">
      <c r="A30">
        <v>1026</v>
      </c>
      <c r="B30" s="1">
        <v>45316</v>
      </c>
      <c r="C30" t="s">
        <v>65</v>
      </c>
      <c r="D30" t="s">
        <v>43</v>
      </c>
      <c r="E30" t="s">
        <v>23</v>
      </c>
      <c r="F30" t="s">
        <v>14</v>
      </c>
      <c r="G30">
        <v>6</v>
      </c>
      <c r="H30">
        <v>1.99</v>
      </c>
      <c r="I30">
        <v>0</v>
      </c>
      <c r="J30">
        <v>11.94</v>
      </c>
      <c r="K30">
        <v>0</v>
      </c>
    </row>
    <row r="31" spans="1:11" x14ac:dyDescent="0.25">
      <c r="A31">
        <v>1027</v>
      </c>
      <c r="B31" s="1">
        <v>45317</v>
      </c>
      <c r="C31" t="s">
        <v>65</v>
      </c>
      <c r="D31" t="s">
        <v>44</v>
      </c>
      <c r="E31" t="s">
        <v>10</v>
      </c>
      <c r="F31" t="s">
        <v>17</v>
      </c>
      <c r="G31">
        <v>1</v>
      </c>
      <c r="H31">
        <v>49.99</v>
      </c>
      <c r="I31">
        <v>0</v>
      </c>
      <c r="J31">
        <v>49.99</v>
      </c>
      <c r="K31">
        <v>0</v>
      </c>
    </row>
    <row r="32" spans="1:11" x14ac:dyDescent="0.25">
      <c r="A32">
        <v>1028</v>
      </c>
      <c r="B32" s="1">
        <v>45318</v>
      </c>
      <c r="C32" t="s">
        <v>65</v>
      </c>
      <c r="D32" t="s">
        <v>45</v>
      </c>
      <c r="E32" t="s">
        <v>13</v>
      </c>
      <c r="F32" t="s">
        <v>19</v>
      </c>
      <c r="G32">
        <v>1</v>
      </c>
      <c r="H32">
        <v>99.99</v>
      </c>
      <c r="I32">
        <v>0.05</v>
      </c>
      <c r="J32">
        <v>94.990499999999997</v>
      </c>
      <c r="K32">
        <v>4.9995000000000003</v>
      </c>
    </row>
    <row r="33" spans="1:11" x14ac:dyDescent="0.25">
      <c r="A33">
        <v>1029</v>
      </c>
      <c r="B33" s="1">
        <v>45319</v>
      </c>
      <c r="C33" t="s">
        <v>65</v>
      </c>
      <c r="D33" t="s">
        <v>46</v>
      </c>
      <c r="E33" t="s">
        <v>16</v>
      </c>
      <c r="F33" t="s">
        <v>11</v>
      </c>
      <c r="G33">
        <v>1</v>
      </c>
      <c r="H33">
        <v>69.989999999999995</v>
      </c>
      <c r="I33">
        <v>0</v>
      </c>
      <c r="J33">
        <v>69.989999999999995</v>
      </c>
      <c r="K33">
        <v>0</v>
      </c>
    </row>
    <row r="34" spans="1:11" x14ac:dyDescent="0.25">
      <c r="A34">
        <v>1030</v>
      </c>
      <c r="B34" s="1">
        <v>45320</v>
      </c>
      <c r="C34" t="s">
        <v>65</v>
      </c>
      <c r="D34" t="s">
        <v>47</v>
      </c>
      <c r="E34" t="s">
        <v>21</v>
      </c>
      <c r="F34" t="s">
        <v>14</v>
      </c>
      <c r="G34">
        <v>1</v>
      </c>
      <c r="H34">
        <v>129.99</v>
      </c>
      <c r="I34">
        <v>0</v>
      </c>
      <c r="J34">
        <v>129.99</v>
      </c>
      <c r="K34">
        <v>0</v>
      </c>
    </row>
    <row r="35" spans="1:11" x14ac:dyDescent="0.25">
      <c r="A35">
        <v>1031</v>
      </c>
      <c r="B35" s="1">
        <v>45321</v>
      </c>
      <c r="C35" t="s">
        <v>65</v>
      </c>
      <c r="D35" t="s">
        <v>48</v>
      </c>
      <c r="E35" t="s">
        <v>23</v>
      </c>
      <c r="F35" t="s">
        <v>17</v>
      </c>
      <c r="G35">
        <v>4</v>
      </c>
      <c r="H35">
        <v>1.49</v>
      </c>
      <c r="I35">
        <v>0</v>
      </c>
      <c r="J35">
        <v>5.96</v>
      </c>
      <c r="K35">
        <v>0</v>
      </c>
    </row>
    <row r="36" spans="1:11" x14ac:dyDescent="0.25">
      <c r="A36">
        <v>1032</v>
      </c>
      <c r="B36" s="1">
        <v>45322</v>
      </c>
      <c r="C36" t="s">
        <v>65</v>
      </c>
      <c r="D36" t="s">
        <v>49</v>
      </c>
      <c r="E36" t="s">
        <v>10</v>
      </c>
      <c r="F36" t="s">
        <v>19</v>
      </c>
      <c r="G36">
        <v>1</v>
      </c>
      <c r="H36">
        <v>799.99</v>
      </c>
      <c r="I36">
        <v>0.1</v>
      </c>
      <c r="J36">
        <v>719.99099999999999</v>
      </c>
      <c r="K36">
        <v>79.999000000000009</v>
      </c>
    </row>
    <row r="37" spans="1:11" x14ac:dyDescent="0.25">
      <c r="A37">
        <v>1033</v>
      </c>
      <c r="B37" s="1">
        <v>45323</v>
      </c>
      <c r="C37" t="s">
        <v>65</v>
      </c>
      <c r="D37" t="s">
        <v>50</v>
      </c>
      <c r="E37" t="s">
        <v>13</v>
      </c>
      <c r="F37" t="s">
        <v>11</v>
      </c>
      <c r="G37">
        <v>1</v>
      </c>
      <c r="H37">
        <v>59.99</v>
      </c>
      <c r="I37">
        <v>0</v>
      </c>
      <c r="J37">
        <v>59.99</v>
      </c>
      <c r="K37">
        <v>0</v>
      </c>
    </row>
    <row r="38" spans="1:11" x14ac:dyDescent="0.25">
      <c r="A38">
        <v>1034</v>
      </c>
      <c r="B38" s="1">
        <v>45324</v>
      </c>
      <c r="C38" t="s">
        <v>65</v>
      </c>
      <c r="D38" t="s">
        <v>51</v>
      </c>
      <c r="E38" t="s">
        <v>16</v>
      </c>
      <c r="F38" t="s">
        <v>14</v>
      </c>
      <c r="G38">
        <v>3</v>
      </c>
      <c r="H38">
        <v>7.99</v>
      </c>
      <c r="I38">
        <v>0</v>
      </c>
      <c r="J38">
        <v>23.97</v>
      </c>
      <c r="K38">
        <v>0</v>
      </c>
    </row>
    <row r="39" spans="1:11" x14ac:dyDescent="0.25">
      <c r="A39">
        <v>1035</v>
      </c>
      <c r="B39" s="1">
        <v>45325</v>
      </c>
      <c r="C39" t="s">
        <v>65</v>
      </c>
      <c r="D39" t="s">
        <v>37</v>
      </c>
      <c r="E39" t="s">
        <v>21</v>
      </c>
      <c r="F39" t="s">
        <v>17</v>
      </c>
      <c r="G39">
        <v>1</v>
      </c>
      <c r="H39">
        <v>89.99</v>
      </c>
      <c r="I39">
        <v>0</v>
      </c>
      <c r="J39">
        <v>89.99</v>
      </c>
      <c r="K39">
        <v>0</v>
      </c>
    </row>
    <row r="40" spans="1:11" x14ac:dyDescent="0.25">
      <c r="A40">
        <v>1036</v>
      </c>
      <c r="B40" s="1">
        <v>45326</v>
      </c>
      <c r="C40" t="s">
        <v>65</v>
      </c>
      <c r="D40" t="s">
        <v>52</v>
      </c>
      <c r="E40" t="s">
        <v>23</v>
      </c>
      <c r="F40" t="s">
        <v>19</v>
      </c>
      <c r="G40">
        <v>8</v>
      </c>
      <c r="H40">
        <v>0.99</v>
      </c>
      <c r="I40">
        <v>0</v>
      </c>
      <c r="J40">
        <v>7.92</v>
      </c>
      <c r="K40">
        <v>0</v>
      </c>
    </row>
    <row r="41" spans="1:11" x14ac:dyDescent="0.25">
      <c r="A41">
        <v>1037</v>
      </c>
      <c r="B41" s="1">
        <v>45327</v>
      </c>
      <c r="C41" t="s">
        <v>65</v>
      </c>
      <c r="D41" t="s">
        <v>53</v>
      </c>
      <c r="E41" t="s">
        <v>10</v>
      </c>
      <c r="F41" t="s">
        <v>11</v>
      </c>
      <c r="G41">
        <v>1</v>
      </c>
      <c r="H41">
        <v>39.99</v>
      </c>
      <c r="I41">
        <v>0</v>
      </c>
      <c r="J41">
        <v>39.99</v>
      </c>
      <c r="K41">
        <v>0</v>
      </c>
    </row>
    <row r="42" spans="1:11" x14ac:dyDescent="0.25">
      <c r="A42">
        <v>1038</v>
      </c>
      <c r="B42" s="1">
        <v>45328</v>
      </c>
      <c r="C42" t="s">
        <v>65</v>
      </c>
      <c r="D42" t="s">
        <v>54</v>
      </c>
      <c r="E42" t="s">
        <v>13</v>
      </c>
      <c r="F42" t="s">
        <v>14</v>
      </c>
      <c r="G42">
        <v>1</v>
      </c>
      <c r="H42">
        <v>149.99</v>
      </c>
      <c r="I42">
        <v>0.1</v>
      </c>
      <c r="J42">
        <v>134.99100000000001</v>
      </c>
      <c r="K42">
        <v>14.999000000000002</v>
      </c>
    </row>
    <row r="43" spans="1:11" x14ac:dyDescent="0.25">
      <c r="A43">
        <v>1039</v>
      </c>
      <c r="B43" s="1">
        <v>45329</v>
      </c>
      <c r="C43" t="s">
        <v>65</v>
      </c>
      <c r="D43" t="s">
        <v>55</v>
      </c>
      <c r="E43" t="s">
        <v>16</v>
      </c>
      <c r="F43" t="s">
        <v>17</v>
      </c>
      <c r="G43">
        <v>2</v>
      </c>
      <c r="H43">
        <v>14.99</v>
      </c>
      <c r="I43">
        <v>0</v>
      </c>
      <c r="J43">
        <v>29.98</v>
      </c>
      <c r="K43">
        <v>0</v>
      </c>
    </row>
    <row r="44" spans="1:11" x14ac:dyDescent="0.25">
      <c r="A44">
        <v>1040</v>
      </c>
      <c r="B44" s="1">
        <v>45330</v>
      </c>
      <c r="C44" t="s">
        <v>65</v>
      </c>
      <c r="D44" t="s">
        <v>24</v>
      </c>
      <c r="E44" t="s">
        <v>21</v>
      </c>
      <c r="F44" t="s">
        <v>19</v>
      </c>
      <c r="G44">
        <v>1</v>
      </c>
      <c r="H44">
        <v>149.99</v>
      </c>
      <c r="I44">
        <v>0.15</v>
      </c>
      <c r="J44">
        <v>127.4915</v>
      </c>
      <c r="K44">
        <v>22.4985</v>
      </c>
    </row>
    <row r="45" spans="1:11" x14ac:dyDescent="0.25">
      <c r="A45">
        <v>1041</v>
      </c>
      <c r="B45" s="1">
        <v>45331</v>
      </c>
      <c r="C45" t="s">
        <v>65</v>
      </c>
      <c r="D45" t="s">
        <v>56</v>
      </c>
      <c r="E45" t="s">
        <v>23</v>
      </c>
      <c r="F45" t="s">
        <v>11</v>
      </c>
      <c r="G45">
        <v>5</v>
      </c>
      <c r="H45">
        <v>0.79</v>
      </c>
      <c r="I45">
        <v>0</v>
      </c>
      <c r="J45">
        <v>3.95</v>
      </c>
      <c r="K45">
        <v>0</v>
      </c>
    </row>
    <row r="46" spans="1:11" x14ac:dyDescent="0.25">
      <c r="A46">
        <v>1042</v>
      </c>
      <c r="B46" s="1">
        <v>45332</v>
      </c>
      <c r="C46" t="s">
        <v>65</v>
      </c>
      <c r="D46" t="s">
        <v>57</v>
      </c>
      <c r="E46" t="s">
        <v>10</v>
      </c>
      <c r="F46" t="s">
        <v>14</v>
      </c>
      <c r="G46">
        <v>1</v>
      </c>
      <c r="H46">
        <v>599.99</v>
      </c>
      <c r="I46">
        <v>0.1</v>
      </c>
      <c r="J46">
        <v>539.99099999999999</v>
      </c>
      <c r="K46">
        <v>59.999000000000002</v>
      </c>
    </row>
    <row r="47" spans="1:11" x14ac:dyDescent="0.25">
      <c r="A47">
        <v>1043</v>
      </c>
      <c r="B47" s="1">
        <v>45333</v>
      </c>
      <c r="C47" t="s">
        <v>65</v>
      </c>
      <c r="D47" t="s">
        <v>25</v>
      </c>
      <c r="E47" t="s">
        <v>13</v>
      </c>
      <c r="F47" t="s">
        <v>17</v>
      </c>
      <c r="G47">
        <v>1</v>
      </c>
      <c r="H47">
        <v>49.99</v>
      </c>
      <c r="I47">
        <v>0</v>
      </c>
      <c r="J47">
        <v>49.99</v>
      </c>
      <c r="K47">
        <v>0</v>
      </c>
    </row>
    <row r="48" spans="1:11" x14ac:dyDescent="0.25">
      <c r="A48">
        <v>1044</v>
      </c>
      <c r="B48" s="1">
        <v>45334</v>
      </c>
      <c r="C48" t="s">
        <v>65</v>
      </c>
      <c r="D48" t="s">
        <v>58</v>
      </c>
      <c r="E48" t="s">
        <v>16</v>
      </c>
      <c r="F48" t="s">
        <v>19</v>
      </c>
      <c r="G48">
        <v>3</v>
      </c>
      <c r="H48">
        <v>9.99</v>
      </c>
      <c r="I48">
        <v>0</v>
      </c>
      <c r="J48">
        <v>29.97</v>
      </c>
      <c r="K48">
        <v>0</v>
      </c>
    </row>
    <row r="49" spans="1:11" x14ac:dyDescent="0.25">
      <c r="A49">
        <v>1045</v>
      </c>
      <c r="B49" s="1">
        <v>45335</v>
      </c>
      <c r="C49" t="s">
        <v>65</v>
      </c>
      <c r="D49" t="s">
        <v>20</v>
      </c>
      <c r="E49" t="s">
        <v>21</v>
      </c>
      <c r="F49" t="s">
        <v>11</v>
      </c>
      <c r="G49">
        <v>2</v>
      </c>
      <c r="H49">
        <v>22.5</v>
      </c>
      <c r="I49">
        <v>0</v>
      </c>
      <c r="J49">
        <v>45</v>
      </c>
      <c r="K49">
        <v>0</v>
      </c>
    </row>
    <row r="50" spans="1:11" x14ac:dyDescent="0.25">
      <c r="A50">
        <v>1046</v>
      </c>
      <c r="B50" s="1">
        <v>45336</v>
      </c>
      <c r="C50" t="s">
        <v>65</v>
      </c>
      <c r="D50" t="s">
        <v>22</v>
      </c>
      <c r="E50" t="s">
        <v>23</v>
      </c>
      <c r="F50" t="s">
        <v>14</v>
      </c>
      <c r="G50">
        <v>4</v>
      </c>
      <c r="H50">
        <v>2.99</v>
      </c>
      <c r="I50">
        <v>0</v>
      </c>
      <c r="J50">
        <v>11.96</v>
      </c>
      <c r="K50">
        <v>0</v>
      </c>
    </row>
    <row r="51" spans="1:11" x14ac:dyDescent="0.25">
      <c r="A51">
        <v>1047</v>
      </c>
      <c r="B51" s="1">
        <v>45337</v>
      </c>
      <c r="C51" t="s">
        <v>65</v>
      </c>
      <c r="D51" t="s">
        <v>59</v>
      </c>
      <c r="E51" t="s">
        <v>10</v>
      </c>
      <c r="F51" t="s">
        <v>17</v>
      </c>
      <c r="G51">
        <v>1</v>
      </c>
      <c r="H51">
        <v>29.99</v>
      </c>
      <c r="I51">
        <v>0</v>
      </c>
      <c r="J51">
        <v>29.99</v>
      </c>
      <c r="K51">
        <v>0</v>
      </c>
    </row>
    <row r="52" spans="1:11" x14ac:dyDescent="0.25">
      <c r="A52">
        <v>1048</v>
      </c>
      <c r="B52" s="1">
        <v>45338</v>
      </c>
      <c r="C52" t="s">
        <v>65</v>
      </c>
      <c r="D52" t="s">
        <v>31</v>
      </c>
      <c r="E52" t="s">
        <v>13</v>
      </c>
      <c r="F52" t="s">
        <v>19</v>
      </c>
      <c r="G52">
        <v>1</v>
      </c>
      <c r="H52">
        <v>89.99</v>
      </c>
      <c r="I52">
        <v>0.05</v>
      </c>
      <c r="J52">
        <v>85.490499999999997</v>
      </c>
      <c r="K52">
        <v>4.4995000000000003</v>
      </c>
    </row>
    <row r="53" spans="1:11" x14ac:dyDescent="0.25">
      <c r="A53">
        <v>1049</v>
      </c>
      <c r="B53" s="1">
        <v>45339</v>
      </c>
      <c r="C53" t="s">
        <v>65</v>
      </c>
      <c r="D53" t="s">
        <v>32</v>
      </c>
      <c r="E53" t="s">
        <v>16</v>
      </c>
      <c r="F53" t="s">
        <v>11</v>
      </c>
      <c r="G53">
        <v>1</v>
      </c>
      <c r="H53">
        <v>499.99</v>
      </c>
      <c r="I53">
        <v>0.2</v>
      </c>
      <c r="J53">
        <v>399.99200000000002</v>
      </c>
      <c r="K53">
        <v>99.998000000000005</v>
      </c>
    </row>
    <row r="54" spans="1:11" x14ac:dyDescent="0.25">
      <c r="A54">
        <v>1050</v>
      </c>
      <c r="B54" s="1">
        <v>45340</v>
      </c>
      <c r="C54" t="s">
        <v>65</v>
      </c>
      <c r="D54" t="s">
        <v>42</v>
      </c>
      <c r="E54" t="s">
        <v>21</v>
      </c>
      <c r="F54" t="s">
        <v>14</v>
      </c>
      <c r="G54">
        <v>1</v>
      </c>
      <c r="H54">
        <v>199.99</v>
      </c>
      <c r="I54">
        <v>0.1</v>
      </c>
      <c r="J54">
        <v>179.99100000000001</v>
      </c>
      <c r="K54">
        <v>19.999000000000002</v>
      </c>
    </row>
    <row r="55" spans="1:11" x14ac:dyDescent="0.25">
      <c r="A55">
        <v>2001</v>
      </c>
      <c r="B55" s="1">
        <v>45323</v>
      </c>
      <c r="C55" t="s">
        <v>65</v>
      </c>
      <c r="D55" t="s">
        <v>9</v>
      </c>
      <c r="E55" t="s">
        <v>10</v>
      </c>
      <c r="F55" t="s">
        <v>11</v>
      </c>
      <c r="G55">
        <v>1</v>
      </c>
      <c r="H55">
        <v>15.99</v>
      </c>
      <c r="I55">
        <v>0</v>
      </c>
      <c r="J55">
        <v>15.99</v>
      </c>
      <c r="K55">
        <v>0</v>
      </c>
    </row>
    <row r="56" spans="1:11" x14ac:dyDescent="0.25">
      <c r="A56">
        <v>2001</v>
      </c>
      <c r="B56" s="1">
        <v>45323</v>
      </c>
      <c r="C56" t="s">
        <v>65</v>
      </c>
      <c r="D56" t="s">
        <v>9</v>
      </c>
      <c r="E56" t="s">
        <v>10</v>
      </c>
      <c r="F56" t="s">
        <v>11</v>
      </c>
      <c r="G56">
        <v>1</v>
      </c>
      <c r="H56">
        <v>15.99</v>
      </c>
      <c r="I56">
        <v>0</v>
      </c>
      <c r="J56">
        <v>15.99</v>
      </c>
      <c r="K56">
        <v>0</v>
      </c>
    </row>
    <row r="57" spans="1:11" x14ac:dyDescent="0.25">
      <c r="A57">
        <v>2002</v>
      </c>
      <c r="B57" s="1">
        <v>45323</v>
      </c>
      <c r="C57" t="s">
        <v>65</v>
      </c>
      <c r="D57" t="s">
        <v>31</v>
      </c>
      <c r="E57" t="s">
        <v>13</v>
      </c>
      <c r="F57" t="s">
        <v>14</v>
      </c>
      <c r="G57">
        <v>1</v>
      </c>
      <c r="H57">
        <v>89.99</v>
      </c>
      <c r="I57">
        <v>0.05</v>
      </c>
      <c r="J57">
        <v>85.490499999999997</v>
      </c>
      <c r="K57">
        <v>4.4995000000000003</v>
      </c>
    </row>
    <row r="58" spans="1:11" x14ac:dyDescent="0.25">
      <c r="A58">
        <v>2002</v>
      </c>
      <c r="B58" s="1">
        <v>45323</v>
      </c>
      <c r="C58" t="s">
        <v>65</v>
      </c>
      <c r="D58" t="s">
        <v>31</v>
      </c>
      <c r="E58" t="s">
        <v>13</v>
      </c>
      <c r="F58" t="s">
        <v>14</v>
      </c>
      <c r="G58">
        <v>1</v>
      </c>
      <c r="H58">
        <v>89.99</v>
      </c>
      <c r="I58">
        <v>0.05</v>
      </c>
      <c r="J58">
        <v>85.490499999999997</v>
      </c>
      <c r="K58">
        <v>4.4995000000000003</v>
      </c>
    </row>
    <row r="59" spans="1:11" x14ac:dyDescent="0.25">
      <c r="A59">
        <v>2003</v>
      </c>
      <c r="B59" s="1">
        <v>45324</v>
      </c>
      <c r="C59" t="s">
        <v>65</v>
      </c>
      <c r="D59" t="s">
        <v>15</v>
      </c>
      <c r="E59" t="s">
        <v>16</v>
      </c>
      <c r="F59" t="s">
        <v>17</v>
      </c>
      <c r="G59">
        <v>2</v>
      </c>
      <c r="H59">
        <v>59.99</v>
      </c>
      <c r="I59">
        <v>0</v>
      </c>
      <c r="J59">
        <v>119.98</v>
      </c>
      <c r="K59">
        <v>0</v>
      </c>
    </row>
    <row r="60" spans="1:11" x14ac:dyDescent="0.25">
      <c r="A60">
        <v>2003</v>
      </c>
      <c r="B60" s="1">
        <v>45324</v>
      </c>
      <c r="C60" t="s">
        <v>65</v>
      </c>
      <c r="D60" t="s">
        <v>15</v>
      </c>
      <c r="E60" t="s">
        <v>16</v>
      </c>
      <c r="F60" t="s">
        <v>17</v>
      </c>
      <c r="G60">
        <v>2</v>
      </c>
      <c r="H60">
        <v>59.99</v>
      </c>
      <c r="I60">
        <v>0</v>
      </c>
      <c r="J60">
        <v>119.98</v>
      </c>
      <c r="K60">
        <v>0</v>
      </c>
    </row>
    <row r="61" spans="1:11" x14ac:dyDescent="0.25">
      <c r="A61">
        <v>2003</v>
      </c>
      <c r="B61" s="1">
        <v>45324</v>
      </c>
      <c r="C61" t="s">
        <v>65</v>
      </c>
      <c r="D61" t="s">
        <v>27</v>
      </c>
      <c r="E61" t="s">
        <v>16</v>
      </c>
      <c r="F61" t="s">
        <v>14</v>
      </c>
      <c r="G61">
        <v>2</v>
      </c>
      <c r="H61">
        <v>9.99</v>
      </c>
      <c r="I61">
        <v>0</v>
      </c>
      <c r="J61">
        <v>19.98</v>
      </c>
      <c r="K61">
        <v>0</v>
      </c>
    </row>
    <row r="62" spans="1:11" x14ac:dyDescent="0.25">
      <c r="A62">
        <v>2003</v>
      </c>
      <c r="B62" s="1">
        <v>45324</v>
      </c>
      <c r="C62" t="s">
        <v>65</v>
      </c>
      <c r="D62" t="s">
        <v>27</v>
      </c>
      <c r="E62" t="s">
        <v>16</v>
      </c>
      <c r="F62" t="s">
        <v>14</v>
      </c>
      <c r="G62">
        <v>2</v>
      </c>
      <c r="H62">
        <v>9.99</v>
      </c>
      <c r="I62">
        <v>0</v>
      </c>
      <c r="J62">
        <v>19.98</v>
      </c>
      <c r="K62">
        <v>0</v>
      </c>
    </row>
    <row r="63" spans="1:11" x14ac:dyDescent="0.25">
      <c r="A63">
        <v>2004</v>
      </c>
      <c r="B63" s="1">
        <v>45324</v>
      </c>
      <c r="C63" t="s">
        <v>65</v>
      </c>
      <c r="D63" t="s">
        <v>20</v>
      </c>
      <c r="E63" t="s">
        <v>21</v>
      </c>
      <c r="F63" t="s">
        <v>19</v>
      </c>
      <c r="G63">
        <v>1</v>
      </c>
      <c r="H63">
        <v>22.5</v>
      </c>
      <c r="I63">
        <v>0</v>
      </c>
      <c r="J63">
        <v>22.5</v>
      </c>
      <c r="K63">
        <v>0</v>
      </c>
    </row>
    <row r="64" spans="1:11" x14ac:dyDescent="0.25">
      <c r="A64">
        <v>2004</v>
      </c>
      <c r="B64" s="1">
        <v>45324</v>
      </c>
      <c r="C64" t="s">
        <v>65</v>
      </c>
      <c r="D64" t="s">
        <v>20</v>
      </c>
      <c r="E64" t="s">
        <v>21</v>
      </c>
      <c r="F64" t="s">
        <v>19</v>
      </c>
      <c r="G64">
        <v>1</v>
      </c>
      <c r="H64">
        <v>22.5</v>
      </c>
      <c r="I64">
        <v>0</v>
      </c>
      <c r="J64">
        <v>22.5</v>
      </c>
      <c r="K64">
        <v>0</v>
      </c>
    </row>
    <row r="65" spans="1:11" x14ac:dyDescent="0.25">
      <c r="A65">
        <v>2005</v>
      </c>
      <c r="B65" s="1">
        <v>45325</v>
      </c>
      <c r="C65" t="s">
        <v>65</v>
      </c>
      <c r="D65" t="s">
        <v>22</v>
      </c>
      <c r="E65" t="s">
        <v>23</v>
      </c>
      <c r="F65" t="s">
        <v>11</v>
      </c>
      <c r="G65">
        <v>6</v>
      </c>
      <c r="H65">
        <v>2.99</v>
      </c>
      <c r="I65">
        <v>0</v>
      </c>
      <c r="J65">
        <v>17.940000000000001</v>
      </c>
      <c r="K65">
        <v>0</v>
      </c>
    </row>
    <row r="66" spans="1:11" x14ac:dyDescent="0.25">
      <c r="A66">
        <v>2005</v>
      </c>
      <c r="B66" s="1">
        <v>45325</v>
      </c>
      <c r="C66" t="s">
        <v>65</v>
      </c>
      <c r="D66" t="s">
        <v>22</v>
      </c>
      <c r="E66" t="s">
        <v>23</v>
      </c>
      <c r="F66" t="s">
        <v>11</v>
      </c>
      <c r="G66">
        <v>6</v>
      </c>
      <c r="H66">
        <v>2.99</v>
      </c>
      <c r="I66">
        <v>0</v>
      </c>
      <c r="J66">
        <v>17.940000000000001</v>
      </c>
      <c r="K66">
        <v>0</v>
      </c>
    </row>
    <row r="67" spans="1:11" x14ac:dyDescent="0.25">
      <c r="A67">
        <v>2006</v>
      </c>
      <c r="B67" s="1">
        <v>45325</v>
      </c>
      <c r="C67" t="s">
        <v>65</v>
      </c>
      <c r="D67" t="s">
        <v>18</v>
      </c>
      <c r="E67" t="s">
        <v>10</v>
      </c>
      <c r="F67" t="s">
        <v>14</v>
      </c>
      <c r="G67">
        <v>1</v>
      </c>
      <c r="H67">
        <v>129.99</v>
      </c>
      <c r="I67">
        <v>0.1</v>
      </c>
      <c r="J67">
        <v>116.99100000000001</v>
      </c>
      <c r="K67">
        <v>12.999000000000002</v>
      </c>
    </row>
    <row r="68" spans="1:11" x14ac:dyDescent="0.25">
      <c r="A68">
        <v>2006</v>
      </c>
      <c r="B68" s="1">
        <v>45325</v>
      </c>
      <c r="C68" t="s">
        <v>65</v>
      </c>
      <c r="D68" t="s">
        <v>18</v>
      </c>
      <c r="E68" t="s">
        <v>10</v>
      </c>
      <c r="F68" t="s">
        <v>14</v>
      </c>
      <c r="G68">
        <v>1</v>
      </c>
      <c r="H68">
        <v>129.99</v>
      </c>
      <c r="I68">
        <v>0.1</v>
      </c>
      <c r="J68">
        <v>116.99100000000001</v>
      </c>
      <c r="K68">
        <v>12.999000000000002</v>
      </c>
    </row>
    <row r="69" spans="1:11" x14ac:dyDescent="0.25">
      <c r="A69">
        <v>2007</v>
      </c>
      <c r="B69" s="1">
        <v>45326</v>
      </c>
      <c r="C69" t="s">
        <v>65</v>
      </c>
      <c r="D69" t="s">
        <v>55</v>
      </c>
      <c r="E69" t="s">
        <v>16</v>
      </c>
      <c r="F69" t="s">
        <v>17</v>
      </c>
      <c r="G69">
        <v>1</v>
      </c>
      <c r="H69">
        <v>14.99</v>
      </c>
      <c r="I69">
        <v>0</v>
      </c>
      <c r="J69">
        <v>14.99</v>
      </c>
      <c r="K69">
        <v>0</v>
      </c>
    </row>
    <row r="70" spans="1:11" x14ac:dyDescent="0.25">
      <c r="A70">
        <v>2007</v>
      </c>
      <c r="B70" s="1">
        <v>45326</v>
      </c>
      <c r="C70" t="s">
        <v>65</v>
      </c>
      <c r="D70" t="s">
        <v>25</v>
      </c>
      <c r="E70" t="s">
        <v>13</v>
      </c>
      <c r="F70" t="s">
        <v>17</v>
      </c>
      <c r="G70">
        <v>1</v>
      </c>
      <c r="H70">
        <v>49.99</v>
      </c>
      <c r="I70">
        <v>0</v>
      </c>
      <c r="J70">
        <v>49.99</v>
      </c>
      <c r="K70">
        <v>0</v>
      </c>
    </row>
    <row r="71" spans="1:11" x14ac:dyDescent="0.25">
      <c r="A71">
        <v>2007</v>
      </c>
      <c r="B71" s="1">
        <v>45326</v>
      </c>
      <c r="C71" t="s">
        <v>65</v>
      </c>
      <c r="D71" t="s">
        <v>25</v>
      </c>
      <c r="E71" t="s">
        <v>13</v>
      </c>
      <c r="F71" t="s">
        <v>17</v>
      </c>
      <c r="G71">
        <v>1</v>
      </c>
      <c r="H71">
        <v>49.99</v>
      </c>
      <c r="I71">
        <v>0</v>
      </c>
      <c r="J71">
        <v>49.99</v>
      </c>
      <c r="K71">
        <v>0</v>
      </c>
    </row>
    <row r="72" spans="1:11" x14ac:dyDescent="0.25">
      <c r="A72">
        <v>2008</v>
      </c>
      <c r="B72" s="1">
        <v>45326</v>
      </c>
      <c r="C72" t="s">
        <v>65</v>
      </c>
      <c r="D72" t="s">
        <v>24</v>
      </c>
      <c r="E72" t="s">
        <v>21</v>
      </c>
      <c r="F72" t="s">
        <v>19</v>
      </c>
      <c r="G72">
        <v>1</v>
      </c>
      <c r="H72">
        <v>149.99</v>
      </c>
      <c r="I72">
        <v>0.15</v>
      </c>
      <c r="J72">
        <v>127.4915</v>
      </c>
      <c r="K72">
        <v>22.4985</v>
      </c>
    </row>
    <row r="73" spans="1:11" x14ac:dyDescent="0.25">
      <c r="A73">
        <v>2008</v>
      </c>
      <c r="B73" s="1">
        <v>45326</v>
      </c>
      <c r="C73" t="s">
        <v>65</v>
      </c>
      <c r="D73" t="s">
        <v>24</v>
      </c>
      <c r="E73" t="s">
        <v>21</v>
      </c>
      <c r="F73" t="s">
        <v>19</v>
      </c>
      <c r="G73">
        <v>1</v>
      </c>
      <c r="H73">
        <v>149.99</v>
      </c>
      <c r="I73">
        <v>0.15</v>
      </c>
      <c r="J73">
        <v>127.4915</v>
      </c>
      <c r="K73">
        <v>22.4985</v>
      </c>
    </row>
    <row r="74" spans="1:11" x14ac:dyDescent="0.25">
      <c r="A74">
        <v>2009</v>
      </c>
      <c r="B74" s="1">
        <v>45327</v>
      </c>
      <c r="C74" t="s">
        <v>65</v>
      </c>
      <c r="D74" t="s">
        <v>26</v>
      </c>
      <c r="E74" t="s">
        <v>10</v>
      </c>
      <c r="F74" t="s">
        <v>11</v>
      </c>
      <c r="G74">
        <v>2</v>
      </c>
      <c r="H74">
        <v>39.99</v>
      </c>
      <c r="I74">
        <v>0</v>
      </c>
      <c r="J74">
        <v>79.98</v>
      </c>
      <c r="K74">
        <v>0</v>
      </c>
    </row>
    <row r="75" spans="1:11" x14ac:dyDescent="0.25">
      <c r="A75">
        <v>2009</v>
      </c>
      <c r="B75" s="1">
        <v>45327</v>
      </c>
      <c r="C75" t="s">
        <v>65</v>
      </c>
      <c r="D75" t="s">
        <v>26</v>
      </c>
      <c r="E75" t="s">
        <v>10</v>
      </c>
      <c r="F75" t="s">
        <v>11</v>
      </c>
      <c r="G75">
        <v>2</v>
      </c>
      <c r="H75">
        <v>39.99</v>
      </c>
      <c r="I75">
        <v>0</v>
      </c>
      <c r="J75">
        <v>79.98</v>
      </c>
      <c r="K75">
        <v>0</v>
      </c>
    </row>
    <row r="76" spans="1:11" x14ac:dyDescent="0.25">
      <c r="A76">
        <v>2010</v>
      </c>
      <c r="B76" s="1">
        <v>45327</v>
      </c>
      <c r="C76" t="s">
        <v>65</v>
      </c>
      <c r="D76" t="s">
        <v>27</v>
      </c>
      <c r="E76" t="s">
        <v>16</v>
      </c>
      <c r="F76" t="s">
        <v>14</v>
      </c>
      <c r="G76">
        <v>1</v>
      </c>
      <c r="H76">
        <v>9.99</v>
      </c>
      <c r="I76">
        <v>0</v>
      </c>
      <c r="J76">
        <v>9.99</v>
      </c>
      <c r="K76">
        <v>0</v>
      </c>
    </row>
    <row r="77" spans="1:11" x14ac:dyDescent="0.25">
      <c r="A77">
        <v>2011</v>
      </c>
      <c r="B77" s="1">
        <v>45328</v>
      </c>
      <c r="C77" t="s">
        <v>65</v>
      </c>
      <c r="D77" t="s">
        <v>28</v>
      </c>
      <c r="E77" t="s">
        <v>23</v>
      </c>
      <c r="F77" t="s">
        <v>17</v>
      </c>
      <c r="G77">
        <v>12</v>
      </c>
      <c r="H77">
        <v>0.99</v>
      </c>
      <c r="I77">
        <v>0</v>
      </c>
      <c r="J77">
        <v>11.879999999999999</v>
      </c>
      <c r="K77">
        <v>0</v>
      </c>
    </row>
    <row r="78" spans="1:11" x14ac:dyDescent="0.25">
      <c r="A78">
        <v>2011</v>
      </c>
      <c r="B78" s="1">
        <v>45328</v>
      </c>
      <c r="C78" t="s">
        <v>65</v>
      </c>
      <c r="D78" t="s">
        <v>28</v>
      </c>
      <c r="E78" t="s">
        <v>23</v>
      </c>
      <c r="F78" t="s">
        <v>17</v>
      </c>
      <c r="G78">
        <v>12</v>
      </c>
      <c r="H78">
        <v>0.99</v>
      </c>
      <c r="I78">
        <v>0</v>
      </c>
      <c r="J78">
        <v>11.879999999999999</v>
      </c>
      <c r="K78">
        <v>0</v>
      </c>
    </row>
    <row r="79" spans="1:11" x14ac:dyDescent="0.25">
      <c r="A79">
        <v>2012</v>
      </c>
      <c r="B79" s="1">
        <v>45328</v>
      </c>
      <c r="C79" t="s">
        <v>65</v>
      </c>
      <c r="D79" t="s">
        <v>29</v>
      </c>
      <c r="E79" t="s">
        <v>10</v>
      </c>
      <c r="F79" t="s">
        <v>19</v>
      </c>
      <c r="G79">
        <v>1</v>
      </c>
      <c r="H79">
        <v>199.99</v>
      </c>
      <c r="I79">
        <v>0.1</v>
      </c>
      <c r="J79">
        <v>179.99100000000001</v>
      </c>
      <c r="K79">
        <v>19.999000000000002</v>
      </c>
    </row>
    <row r="80" spans="1:11" x14ac:dyDescent="0.25">
      <c r="A80">
        <v>2012</v>
      </c>
      <c r="B80" s="1">
        <v>45328</v>
      </c>
      <c r="C80" t="s">
        <v>65</v>
      </c>
      <c r="D80" t="s">
        <v>29</v>
      </c>
      <c r="E80" t="s">
        <v>10</v>
      </c>
      <c r="F80" t="s">
        <v>19</v>
      </c>
      <c r="G80">
        <v>1</v>
      </c>
      <c r="H80">
        <v>199.99</v>
      </c>
      <c r="I80">
        <v>0.1</v>
      </c>
      <c r="J80">
        <v>179.99100000000001</v>
      </c>
      <c r="K80">
        <v>19.999000000000002</v>
      </c>
    </row>
    <row r="81" spans="1:11" x14ac:dyDescent="0.25">
      <c r="A81">
        <v>2013</v>
      </c>
      <c r="B81" s="1">
        <v>45329</v>
      </c>
      <c r="C81" t="s">
        <v>65</v>
      </c>
      <c r="D81" t="s">
        <v>30</v>
      </c>
      <c r="E81" t="s">
        <v>21</v>
      </c>
      <c r="F81" t="s">
        <v>11</v>
      </c>
      <c r="G81">
        <v>1</v>
      </c>
      <c r="H81">
        <v>12.99</v>
      </c>
      <c r="I81">
        <v>0</v>
      </c>
      <c r="J81">
        <v>12.99</v>
      </c>
      <c r="K81">
        <v>0</v>
      </c>
    </row>
    <row r="82" spans="1:11" x14ac:dyDescent="0.25">
      <c r="A82">
        <v>2013</v>
      </c>
      <c r="B82" s="1">
        <v>45329</v>
      </c>
      <c r="C82" t="s">
        <v>65</v>
      </c>
      <c r="D82" t="s">
        <v>30</v>
      </c>
      <c r="E82" t="s">
        <v>21</v>
      </c>
      <c r="F82" t="s">
        <v>11</v>
      </c>
      <c r="G82">
        <v>1</v>
      </c>
      <c r="H82">
        <v>12.99</v>
      </c>
      <c r="I82">
        <v>0</v>
      </c>
      <c r="J82">
        <v>12.99</v>
      </c>
      <c r="K82">
        <v>0</v>
      </c>
    </row>
    <row r="83" spans="1:11" x14ac:dyDescent="0.25">
      <c r="A83">
        <v>2014</v>
      </c>
      <c r="B83" s="1">
        <v>45329</v>
      </c>
      <c r="C83" t="s">
        <v>65</v>
      </c>
      <c r="D83" t="s">
        <v>35</v>
      </c>
      <c r="E83" t="s">
        <v>13</v>
      </c>
      <c r="F83" t="s">
        <v>14</v>
      </c>
      <c r="G83">
        <v>1</v>
      </c>
      <c r="H83">
        <v>129.99</v>
      </c>
      <c r="I83">
        <v>0</v>
      </c>
      <c r="J83">
        <v>129.99</v>
      </c>
      <c r="K83">
        <v>0</v>
      </c>
    </row>
    <row r="84" spans="1:11" x14ac:dyDescent="0.25">
      <c r="A84">
        <v>2014</v>
      </c>
      <c r="B84" s="1">
        <v>45329</v>
      </c>
      <c r="C84" t="s">
        <v>65</v>
      </c>
      <c r="D84" t="s">
        <v>35</v>
      </c>
      <c r="E84" t="s">
        <v>13</v>
      </c>
      <c r="F84" t="s">
        <v>14</v>
      </c>
      <c r="G84">
        <v>1</v>
      </c>
      <c r="H84">
        <v>129.99</v>
      </c>
      <c r="I84">
        <v>0</v>
      </c>
      <c r="J84">
        <v>129.99</v>
      </c>
      <c r="K84">
        <v>0</v>
      </c>
    </row>
    <row r="85" spans="1:11" x14ac:dyDescent="0.25">
      <c r="A85">
        <v>2015</v>
      </c>
      <c r="B85" s="1">
        <v>45330</v>
      </c>
      <c r="C85" t="s">
        <v>65</v>
      </c>
      <c r="D85" t="s">
        <v>36</v>
      </c>
      <c r="E85" t="s">
        <v>16</v>
      </c>
      <c r="F85" t="s">
        <v>17</v>
      </c>
      <c r="G85">
        <v>2</v>
      </c>
      <c r="H85">
        <v>19.989999999999998</v>
      </c>
      <c r="I85">
        <v>0</v>
      </c>
      <c r="J85">
        <v>39.979999999999997</v>
      </c>
      <c r="K85">
        <v>0</v>
      </c>
    </row>
    <row r="86" spans="1:11" x14ac:dyDescent="0.25">
      <c r="A86">
        <v>2015</v>
      </c>
      <c r="B86" s="1">
        <v>45330</v>
      </c>
      <c r="C86" t="s">
        <v>65</v>
      </c>
      <c r="D86" t="s">
        <v>36</v>
      </c>
      <c r="E86" t="s">
        <v>16</v>
      </c>
      <c r="F86" t="s">
        <v>17</v>
      </c>
      <c r="G86">
        <v>2</v>
      </c>
      <c r="H86">
        <v>19.989999999999998</v>
      </c>
      <c r="I86">
        <v>0</v>
      </c>
      <c r="J86">
        <v>39.979999999999997</v>
      </c>
      <c r="K86">
        <v>0</v>
      </c>
    </row>
    <row r="87" spans="1:11" x14ac:dyDescent="0.25">
      <c r="A87">
        <v>2016</v>
      </c>
      <c r="B87" s="1">
        <v>45330</v>
      </c>
      <c r="C87" t="s">
        <v>65</v>
      </c>
      <c r="D87" t="s">
        <v>37</v>
      </c>
      <c r="E87" t="s">
        <v>21</v>
      </c>
      <c r="F87" t="s">
        <v>19</v>
      </c>
      <c r="G87">
        <v>1</v>
      </c>
      <c r="H87">
        <v>89.99</v>
      </c>
      <c r="I87">
        <v>0</v>
      </c>
      <c r="J87">
        <v>89.99</v>
      </c>
      <c r="K87">
        <v>0</v>
      </c>
    </row>
    <row r="88" spans="1:11" x14ac:dyDescent="0.25">
      <c r="A88">
        <v>2016</v>
      </c>
      <c r="B88" s="1">
        <v>45330</v>
      </c>
      <c r="C88" t="s">
        <v>65</v>
      </c>
      <c r="D88" t="s">
        <v>37</v>
      </c>
      <c r="E88" t="s">
        <v>21</v>
      </c>
      <c r="F88" t="s">
        <v>19</v>
      </c>
      <c r="G88">
        <v>1</v>
      </c>
      <c r="H88">
        <v>89.99</v>
      </c>
      <c r="I88">
        <v>0</v>
      </c>
      <c r="J88">
        <v>89.99</v>
      </c>
      <c r="K88">
        <v>0</v>
      </c>
    </row>
    <row r="89" spans="1:11" x14ac:dyDescent="0.25">
      <c r="A89">
        <v>2017</v>
      </c>
      <c r="B89" s="1">
        <v>45331</v>
      </c>
      <c r="C89" t="s">
        <v>65</v>
      </c>
      <c r="D89" t="s">
        <v>38</v>
      </c>
      <c r="E89" t="s">
        <v>23</v>
      </c>
      <c r="F89" t="s">
        <v>11</v>
      </c>
      <c r="G89">
        <v>3</v>
      </c>
      <c r="H89">
        <v>5.99</v>
      </c>
      <c r="I89">
        <v>0</v>
      </c>
      <c r="J89">
        <v>17.97</v>
      </c>
      <c r="K89">
        <v>0</v>
      </c>
    </row>
    <row r="90" spans="1:11" x14ac:dyDescent="0.25">
      <c r="A90">
        <v>2017</v>
      </c>
      <c r="B90" s="1">
        <v>45331</v>
      </c>
      <c r="C90" t="s">
        <v>65</v>
      </c>
      <c r="D90" t="s">
        <v>38</v>
      </c>
      <c r="E90" t="s">
        <v>23</v>
      </c>
      <c r="F90" t="s">
        <v>11</v>
      </c>
      <c r="G90">
        <v>3</v>
      </c>
      <c r="H90">
        <v>5.99</v>
      </c>
      <c r="I90">
        <v>0</v>
      </c>
      <c r="J90">
        <v>17.97</v>
      </c>
      <c r="K90">
        <v>0</v>
      </c>
    </row>
    <row r="91" spans="1:11" x14ac:dyDescent="0.25">
      <c r="A91">
        <v>2018</v>
      </c>
      <c r="B91" s="1">
        <v>45331</v>
      </c>
      <c r="C91" t="s">
        <v>65</v>
      </c>
      <c r="D91" t="s">
        <v>39</v>
      </c>
      <c r="E91" t="s">
        <v>10</v>
      </c>
      <c r="F91" t="s">
        <v>14</v>
      </c>
      <c r="G91">
        <v>1</v>
      </c>
      <c r="H91">
        <v>249.99</v>
      </c>
      <c r="I91">
        <v>0.15</v>
      </c>
      <c r="J91">
        <v>212.4915</v>
      </c>
      <c r="K91">
        <v>37.4985</v>
      </c>
    </row>
    <row r="92" spans="1:11" x14ac:dyDescent="0.25">
      <c r="A92">
        <v>2018</v>
      </c>
      <c r="B92" s="1">
        <v>45331</v>
      </c>
      <c r="C92" t="s">
        <v>65</v>
      </c>
      <c r="D92" t="s">
        <v>39</v>
      </c>
      <c r="E92" t="s">
        <v>10</v>
      </c>
      <c r="F92" t="s">
        <v>14</v>
      </c>
      <c r="G92">
        <v>1</v>
      </c>
      <c r="H92">
        <v>249.99</v>
      </c>
      <c r="I92">
        <v>0.15</v>
      </c>
      <c r="J92">
        <v>212.4915</v>
      </c>
      <c r="K92">
        <v>37.4985</v>
      </c>
    </row>
    <row r="93" spans="1:11" x14ac:dyDescent="0.25">
      <c r="A93">
        <v>2019</v>
      </c>
      <c r="B93" s="1">
        <v>45332</v>
      </c>
      <c r="C93" t="s">
        <v>65</v>
      </c>
      <c r="D93" t="s">
        <v>40</v>
      </c>
      <c r="E93" t="s">
        <v>13</v>
      </c>
      <c r="F93" t="s">
        <v>17</v>
      </c>
      <c r="G93">
        <v>1</v>
      </c>
      <c r="H93">
        <v>29.99</v>
      </c>
      <c r="I93">
        <v>0</v>
      </c>
      <c r="J93">
        <v>29.99</v>
      </c>
      <c r="K93">
        <v>0</v>
      </c>
    </row>
    <row r="94" spans="1:11" x14ac:dyDescent="0.25">
      <c r="A94">
        <v>2019</v>
      </c>
      <c r="B94" s="1">
        <v>45332</v>
      </c>
      <c r="C94" t="s">
        <v>65</v>
      </c>
      <c r="D94" t="s">
        <v>40</v>
      </c>
      <c r="E94" t="s">
        <v>13</v>
      </c>
      <c r="F94" t="s">
        <v>17</v>
      </c>
      <c r="G94">
        <v>1</v>
      </c>
      <c r="H94">
        <v>29.99</v>
      </c>
      <c r="I94">
        <v>0</v>
      </c>
      <c r="J94">
        <v>29.99</v>
      </c>
      <c r="K94">
        <v>0</v>
      </c>
    </row>
    <row r="95" spans="1:11" x14ac:dyDescent="0.25">
      <c r="A95">
        <v>2020</v>
      </c>
      <c r="B95" s="1">
        <v>45332</v>
      </c>
      <c r="C95" t="s">
        <v>65</v>
      </c>
      <c r="D95" t="s">
        <v>41</v>
      </c>
      <c r="E95" t="s">
        <v>16</v>
      </c>
      <c r="F95" t="s">
        <v>19</v>
      </c>
      <c r="G95">
        <v>2</v>
      </c>
      <c r="H95">
        <v>24.99</v>
      </c>
      <c r="I95">
        <v>0</v>
      </c>
      <c r="J95">
        <v>49.98</v>
      </c>
      <c r="K95">
        <v>0</v>
      </c>
    </row>
    <row r="96" spans="1:11" x14ac:dyDescent="0.25">
      <c r="A96">
        <v>2020</v>
      </c>
      <c r="B96" s="1">
        <v>45332</v>
      </c>
      <c r="C96" t="s">
        <v>65</v>
      </c>
      <c r="D96" t="s">
        <v>41</v>
      </c>
      <c r="E96" t="s">
        <v>16</v>
      </c>
      <c r="F96" t="s">
        <v>19</v>
      </c>
      <c r="G96">
        <v>2</v>
      </c>
      <c r="H96">
        <v>24.99</v>
      </c>
      <c r="I96">
        <v>0</v>
      </c>
      <c r="J96">
        <v>49.98</v>
      </c>
      <c r="K96">
        <v>0</v>
      </c>
    </row>
    <row r="97" spans="1:11" x14ac:dyDescent="0.25">
      <c r="A97">
        <v>2021</v>
      </c>
      <c r="B97" s="1">
        <v>45333</v>
      </c>
      <c r="C97" t="s">
        <v>65</v>
      </c>
      <c r="D97" t="s">
        <v>42</v>
      </c>
      <c r="E97" t="s">
        <v>21</v>
      </c>
      <c r="F97" t="s">
        <v>11</v>
      </c>
      <c r="G97">
        <v>1</v>
      </c>
      <c r="H97">
        <v>199.99</v>
      </c>
      <c r="I97">
        <v>0.1</v>
      </c>
      <c r="J97">
        <v>179.99100000000001</v>
      </c>
      <c r="K97">
        <v>19.999000000000002</v>
      </c>
    </row>
    <row r="98" spans="1:11" x14ac:dyDescent="0.25">
      <c r="A98">
        <v>2021</v>
      </c>
      <c r="B98" s="1">
        <v>45333</v>
      </c>
      <c r="C98" t="s">
        <v>65</v>
      </c>
      <c r="D98" t="s">
        <v>42</v>
      </c>
      <c r="E98" t="s">
        <v>21</v>
      </c>
      <c r="F98" t="s">
        <v>11</v>
      </c>
      <c r="G98">
        <v>1</v>
      </c>
      <c r="H98">
        <v>199.99</v>
      </c>
      <c r="I98">
        <v>0.1</v>
      </c>
      <c r="J98">
        <v>179.99100000000001</v>
      </c>
      <c r="K98">
        <v>19.999000000000002</v>
      </c>
    </row>
    <row r="99" spans="1:11" x14ac:dyDescent="0.25">
      <c r="A99">
        <v>2022</v>
      </c>
      <c r="B99" s="1">
        <v>45333</v>
      </c>
      <c r="C99" t="s">
        <v>65</v>
      </c>
      <c r="D99" t="s">
        <v>43</v>
      </c>
      <c r="E99" t="s">
        <v>23</v>
      </c>
      <c r="F99" t="s">
        <v>14</v>
      </c>
      <c r="G99">
        <v>8</v>
      </c>
      <c r="H99">
        <v>1.99</v>
      </c>
      <c r="I99">
        <v>0</v>
      </c>
      <c r="J99">
        <v>15.92</v>
      </c>
      <c r="K99">
        <v>0</v>
      </c>
    </row>
    <row r="100" spans="1:11" x14ac:dyDescent="0.25">
      <c r="A100">
        <v>2022</v>
      </c>
      <c r="B100" s="1">
        <v>45333</v>
      </c>
      <c r="C100" t="s">
        <v>65</v>
      </c>
      <c r="D100" t="s">
        <v>43</v>
      </c>
      <c r="E100" t="s">
        <v>23</v>
      </c>
      <c r="F100" t="s">
        <v>14</v>
      </c>
      <c r="G100">
        <v>8</v>
      </c>
      <c r="H100">
        <v>1.99</v>
      </c>
      <c r="I100">
        <v>0</v>
      </c>
      <c r="J100">
        <v>15.92</v>
      </c>
      <c r="K100">
        <v>0</v>
      </c>
    </row>
    <row r="101" spans="1:11" x14ac:dyDescent="0.25">
      <c r="A101">
        <v>2023</v>
      </c>
      <c r="B101" s="1">
        <v>45334</v>
      </c>
      <c r="C101" t="s">
        <v>65</v>
      </c>
      <c r="D101" t="s">
        <v>44</v>
      </c>
      <c r="E101" t="s">
        <v>10</v>
      </c>
      <c r="F101" t="s">
        <v>17</v>
      </c>
      <c r="G101">
        <v>1</v>
      </c>
      <c r="H101">
        <v>49.99</v>
      </c>
      <c r="I101">
        <v>0</v>
      </c>
      <c r="J101">
        <v>49.99</v>
      </c>
      <c r="K101">
        <v>0</v>
      </c>
    </row>
    <row r="102" spans="1:11" x14ac:dyDescent="0.25">
      <c r="A102">
        <v>2023</v>
      </c>
      <c r="B102" s="1">
        <v>45334</v>
      </c>
      <c r="C102" t="s">
        <v>65</v>
      </c>
      <c r="D102" t="s">
        <v>44</v>
      </c>
      <c r="E102" t="s">
        <v>10</v>
      </c>
      <c r="F102" t="s">
        <v>17</v>
      </c>
      <c r="G102">
        <v>1</v>
      </c>
      <c r="H102">
        <v>49.99</v>
      </c>
      <c r="I102">
        <v>0</v>
      </c>
      <c r="J102">
        <v>49.99</v>
      </c>
      <c r="K102">
        <v>0</v>
      </c>
    </row>
    <row r="103" spans="1:11" x14ac:dyDescent="0.25">
      <c r="A103">
        <v>2024</v>
      </c>
      <c r="B103" s="1">
        <v>45334</v>
      </c>
      <c r="C103" t="s">
        <v>65</v>
      </c>
      <c r="D103" t="s">
        <v>45</v>
      </c>
      <c r="E103" t="s">
        <v>13</v>
      </c>
      <c r="F103" t="s">
        <v>19</v>
      </c>
      <c r="G103">
        <v>1</v>
      </c>
      <c r="H103">
        <v>99.99</v>
      </c>
      <c r="I103">
        <v>0.05</v>
      </c>
      <c r="J103">
        <v>94.990499999999997</v>
      </c>
      <c r="K103">
        <v>4.9995000000000003</v>
      </c>
    </row>
    <row r="104" spans="1:11" x14ac:dyDescent="0.25">
      <c r="A104">
        <v>2024</v>
      </c>
      <c r="B104" s="1">
        <v>45334</v>
      </c>
      <c r="C104" t="s">
        <v>65</v>
      </c>
      <c r="D104" t="s">
        <v>45</v>
      </c>
      <c r="E104" t="s">
        <v>13</v>
      </c>
      <c r="F104" t="s">
        <v>19</v>
      </c>
      <c r="G104">
        <v>1</v>
      </c>
      <c r="H104">
        <v>99.99</v>
      </c>
      <c r="I104">
        <v>0.05</v>
      </c>
      <c r="J104">
        <v>94.990499999999997</v>
      </c>
      <c r="K104">
        <v>4.9995000000000003</v>
      </c>
    </row>
    <row r="105" spans="1:11" x14ac:dyDescent="0.25">
      <c r="A105">
        <v>2025</v>
      </c>
      <c r="B105" s="1">
        <v>45335</v>
      </c>
      <c r="C105" t="s">
        <v>65</v>
      </c>
      <c r="D105" t="s">
        <v>46</v>
      </c>
      <c r="E105" t="s">
        <v>16</v>
      </c>
      <c r="F105" t="s">
        <v>11</v>
      </c>
      <c r="G105">
        <v>1</v>
      </c>
      <c r="H105">
        <v>69.989999999999995</v>
      </c>
      <c r="I105">
        <v>0</v>
      </c>
      <c r="J105">
        <v>69.989999999999995</v>
      </c>
      <c r="K105">
        <v>0</v>
      </c>
    </row>
    <row r="106" spans="1:11" x14ac:dyDescent="0.25">
      <c r="A106">
        <v>2025</v>
      </c>
      <c r="B106" s="1">
        <v>45335</v>
      </c>
      <c r="C106" t="s">
        <v>65</v>
      </c>
      <c r="D106" t="s">
        <v>46</v>
      </c>
      <c r="E106" t="s">
        <v>16</v>
      </c>
      <c r="F106" t="s">
        <v>11</v>
      </c>
      <c r="G106">
        <v>1</v>
      </c>
      <c r="H106">
        <v>69.989999999999995</v>
      </c>
      <c r="I106">
        <v>0</v>
      </c>
      <c r="J106">
        <v>69.989999999999995</v>
      </c>
      <c r="K106">
        <v>0</v>
      </c>
    </row>
    <row r="107" spans="1:11" x14ac:dyDescent="0.25">
      <c r="A107">
        <v>2026</v>
      </c>
      <c r="B107" s="1">
        <v>45335</v>
      </c>
      <c r="C107" t="s">
        <v>65</v>
      </c>
      <c r="D107" t="s">
        <v>47</v>
      </c>
      <c r="E107" t="s">
        <v>21</v>
      </c>
      <c r="F107" t="s">
        <v>14</v>
      </c>
      <c r="G107">
        <v>1</v>
      </c>
      <c r="H107">
        <v>129.99</v>
      </c>
      <c r="I107">
        <v>0</v>
      </c>
      <c r="J107">
        <v>129.99</v>
      </c>
      <c r="K107">
        <v>0</v>
      </c>
    </row>
    <row r="108" spans="1:11" x14ac:dyDescent="0.25">
      <c r="A108">
        <v>2026</v>
      </c>
      <c r="B108" s="1">
        <v>45335</v>
      </c>
      <c r="C108" t="s">
        <v>65</v>
      </c>
      <c r="D108" t="s">
        <v>47</v>
      </c>
      <c r="E108" t="s">
        <v>21</v>
      </c>
      <c r="F108" t="s">
        <v>14</v>
      </c>
      <c r="G108">
        <v>1</v>
      </c>
      <c r="H108">
        <v>129.99</v>
      </c>
      <c r="I108">
        <v>0</v>
      </c>
      <c r="J108">
        <v>129.99</v>
      </c>
      <c r="K108">
        <v>0</v>
      </c>
    </row>
    <row r="109" spans="1:11" x14ac:dyDescent="0.25">
      <c r="A109">
        <v>2027</v>
      </c>
      <c r="B109" s="1">
        <v>45336</v>
      </c>
      <c r="C109" t="s">
        <v>65</v>
      </c>
      <c r="D109" t="s">
        <v>55</v>
      </c>
      <c r="E109" t="s">
        <v>16</v>
      </c>
      <c r="F109" t="s">
        <v>17</v>
      </c>
      <c r="G109">
        <v>1</v>
      </c>
      <c r="H109">
        <v>14.99</v>
      </c>
      <c r="I109">
        <v>0</v>
      </c>
      <c r="J109">
        <v>14.99</v>
      </c>
      <c r="K109">
        <v>0</v>
      </c>
    </row>
    <row r="110" spans="1:11" x14ac:dyDescent="0.25">
      <c r="A110">
        <v>2027</v>
      </c>
      <c r="B110" s="1">
        <v>45336</v>
      </c>
      <c r="C110" t="s">
        <v>65</v>
      </c>
      <c r="D110" t="s">
        <v>55</v>
      </c>
      <c r="E110" t="s">
        <v>16</v>
      </c>
      <c r="F110" t="s">
        <v>17</v>
      </c>
      <c r="G110">
        <v>1</v>
      </c>
      <c r="H110">
        <v>14.99</v>
      </c>
      <c r="I110">
        <v>0</v>
      </c>
      <c r="J110">
        <v>14.99</v>
      </c>
      <c r="K110">
        <v>0</v>
      </c>
    </row>
    <row r="111" spans="1:11" x14ac:dyDescent="0.25">
      <c r="A111">
        <v>2027</v>
      </c>
      <c r="B111" s="1">
        <v>45336</v>
      </c>
      <c r="C111" t="s">
        <v>65</v>
      </c>
      <c r="D111" t="s">
        <v>48</v>
      </c>
      <c r="E111" t="s">
        <v>23</v>
      </c>
      <c r="F111" t="s">
        <v>17</v>
      </c>
      <c r="G111">
        <v>5</v>
      </c>
      <c r="H111">
        <v>1.49</v>
      </c>
      <c r="I111">
        <v>0</v>
      </c>
      <c r="J111">
        <v>7.45</v>
      </c>
      <c r="K111">
        <v>0</v>
      </c>
    </row>
    <row r="112" spans="1:11" x14ac:dyDescent="0.25">
      <c r="A112">
        <v>2027</v>
      </c>
      <c r="B112" s="1">
        <v>45336</v>
      </c>
      <c r="C112" t="s">
        <v>65</v>
      </c>
      <c r="D112" t="s">
        <v>48</v>
      </c>
      <c r="E112" t="s">
        <v>23</v>
      </c>
      <c r="F112" t="s">
        <v>17</v>
      </c>
      <c r="G112">
        <v>5</v>
      </c>
      <c r="H112">
        <v>1.49</v>
      </c>
      <c r="I112">
        <v>0</v>
      </c>
      <c r="J112">
        <v>7.45</v>
      </c>
      <c r="K112">
        <v>0</v>
      </c>
    </row>
    <row r="113" spans="1:11" x14ac:dyDescent="0.25">
      <c r="A113">
        <v>2028</v>
      </c>
      <c r="B113" s="1">
        <v>45336</v>
      </c>
      <c r="C113" t="s">
        <v>65</v>
      </c>
      <c r="D113" t="s">
        <v>55</v>
      </c>
      <c r="E113" t="s">
        <v>16</v>
      </c>
      <c r="F113" t="s">
        <v>17</v>
      </c>
      <c r="G113">
        <v>1</v>
      </c>
      <c r="H113">
        <v>14.99</v>
      </c>
      <c r="I113">
        <v>0</v>
      </c>
      <c r="J113">
        <v>14.99</v>
      </c>
      <c r="K113">
        <v>0</v>
      </c>
    </row>
    <row r="114" spans="1:11" x14ac:dyDescent="0.25">
      <c r="A114">
        <v>2028</v>
      </c>
      <c r="B114" s="1">
        <v>45336</v>
      </c>
      <c r="C114" t="s">
        <v>65</v>
      </c>
      <c r="D114" t="s">
        <v>55</v>
      </c>
      <c r="E114" t="s">
        <v>16</v>
      </c>
      <c r="F114" t="s">
        <v>17</v>
      </c>
      <c r="G114">
        <v>1</v>
      </c>
      <c r="H114">
        <v>14.99</v>
      </c>
      <c r="I114">
        <v>0</v>
      </c>
      <c r="J114">
        <v>14.99</v>
      </c>
      <c r="K114">
        <v>0</v>
      </c>
    </row>
    <row r="115" spans="1:11" x14ac:dyDescent="0.25">
      <c r="A115">
        <v>2028</v>
      </c>
      <c r="B115" s="1">
        <v>45336</v>
      </c>
      <c r="C115" t="s">
        <v>65</v>
      </c>
      <c r="D115" t="s">
        <v>49</v>
      </c>
      <c r="E115" t="s">
        <v>10</v>
      </c>
      <c r="F115" t="s">
        <v>19</v>
      </c>
      <c r="G115">
        <v>1</v>
      </c>
      <c r="H115">
        <v>799.99</v>
      </c>
      <c r="I115">
        <v>0.1</v>
      </c>
      <c r="J115">
        <v>719.99099999999999</v>
      </c>
      <c r="K115">
        <v>79.999000000000009</v>
      </c>
    </row>
    <row r="116" spans="1:11" x14ac:dyDescent="0.25">
      <c r="A116">
        <v>2028</v>
      </c>
      <c r="B116" s="1">
        <v>45336</v>
      </c>
      <c r="C116" t="s">
        <v>65</v>
      </c>
      <c r="D116" t="s">
        <v>49</v>
      </c>
      <c r="E116" t="s">
        <v>10</v>
      </c>
      <c r="F116" t="s">
        <v>19</v>
      </c>
      <c r="G116">
        <v>1</v>
      </c>
      <c r="H116">
        <v>799.99</v>
      </c>
      <c r="I116">
        <v>0.1</v>
      </c>
      <c r="J116">
        <v>719.99099999999999</v>
      </c>
      <c r="K116">
        <v>79.999000000000009</v>
      </c>
    </row>
    <row r="117" spans="1:11" x14ac:dyDescent="0.25">
      <c r="A117">
        <v>2029</v>
      </c>
      <c r="B117" s="1">
        <v>45337</v>
      </c>
      <c r="C117" t="s">
        <v>65</v>
      </c>
      <c r="D117" t="s">
        <v>50</v>
      </c>
      <c r="E117" t="s">
        <v>13</v>
      </c>
      <c r="F117" t="s">
        <v>11</v>
      </c>
      <c r="G117">
        <v>1</v>
      </c>
      <c r="H117">
        <v>59.99</v>
      </c>
      <c r="I117">
        <v>0</v>
      </c>
      <c r="J117">
        <v>59.99</v>
      </c>
      <c r="K117">
        <v>0</v>
      </c>
    </row>
    <row r="118" spans="1:11" x14ac:dyDescent="0.25">
      <c r="A118">
        <v>2029</v>
      </c>
      <c r="B118" s="1">
        <v>45337</v>
      </c>
      <c r="C118" t="s">
        <v>65</v>
      </c>
      <c r="D118" t="s">
        <v>50</v>
      </c>
      <c r="E118" t="s">
        <v>13</v>
      </c>
      <c r="F118" t="s">
        <v>11</v>
      </c>
      <c r="G118">
        <v>1</v>
      </c>
      <c r="H118">
        <v>59.99</v>
      </c>
      <c r="I118">
        <v>0</v>
      </c>
      <c r="J118">
        <v>59.99</v>
      </c>
      <c r="K118">
        <v>0</v>
      </c>
    </row>
    <row r="119" spans="1:11" x14ac:dyDescent="0.25">
      <c r="A119">
        <v>2030</v>
      </c>
      <c r="B119" s="1">
        <v>45337</v>
      </c>
      <c r="C119" t="s">
        <v>65</v>
      </c>
      <c r="D119" t="s">
        <v>51</v>
      </c>
      <c r="E119" t="s">
        <v>16</v>
      </c>
      <c r="F119" t="s">
        <v>14</v>
      </c>
      <c r="G119">
        <v>4</v>
      </c>
      <c r="H119">
        <v>7.99</v>
      </c>
      <c r="I119">
        <v>0</v>
      </c>
      <c r="J119">
        <v>31.96</v>
      </c>
      <c r="K119">
        <v>0</v>
      </c>
    </row>
    <row r="120" spans="1:11" x14ac:dyDescent="0.25">
      <c r="A120">
        <v>2030</v>
      </c>
      <c r="B120" s="1">
        <v>45337</v>
      </c>
      <c r="C120" t="s">
        <v>65</v>
      </c>
      <c r="D120" t="s">
        <v>51</v>
      </c>
      <c r="E120" t="s">
        <v>16</v>
      </c>
      <c r="F120" t="s">
        <v>14</v>
      </c>
      <c r="G120">
        <v>4</v>
      </c>
      <c r="H120">
        <v>7.99</v>
      </c>
      <c r="I120">
        <v>0</v>
      </c>
      <c r="J120">
        <v>31.96</v>
      </c>
      <c r="K120">
        <v>0</v>
      </c>
    </row>
    <row r="121" spans="1:11" x14ac:dyDescent="0.25">
      <c r="A121">
        <v>2031</v>
      </c>
      <c r="B121" s="1">
        <v>45338</v>
      </c>
      <c r="C121" t="s">
        <v>65</v>
      </c>
      <c r="D121" t="s">
        <v>37</v>
      </c>
      <c r="E121" t="s">
        <v>21</v>
      </c>
      <c r="F121" t="s">
        <v>17</v>
      </c>
      <c r="G121">
        <v>1</v>
      </c>
      <c r="H121">
        <v>89.99</v>
      </c>
      <c r="I121">
        <v>0</v>
      </c>
      <c r="J121">
        <v>89.99</v>
      </c>
      <c r="K121">
        <v>0</v>
      </c>
    </row>
    <row r="122" spans="1:11" x14ac:dyDescent="0.25">
      <c r="A122">
        <v>2031</v>
      </c>
      <c r="B122" s="1">
        <v>45338</v>
      </c>
      <c r="C122" t="s">
        <v>65</v>
      </c>
      <c r="D122" t="s">
        <v>37</v>
      </c>
      <c r="E122" t="s">
        <v>21</v>
      </c>
      <c r="F122" t="s">
        <v>17</v>
      </c>
      <c r="G122">
        <v>1</v>
      </c>
      <c r="H122">
        <v>89.99</v>
      </c>
      <c r="I122">
        <v>0</v>
      </c>
      <c r="J122">
        <v>89.99</v>
      </c>
      <c r="K122">
        <v>0</v>
      </c>
    </row>
    <row r="123" spans="1:11" x14ac:dyDescent="0.25">
      <c r="A123">
        <v>2032</v>
      </c>
      <c r="B123" s="1">
        <v>45338</v>
      </c>
      <c r="C123" t="s">
        <v>65</v>
      </c>
      <c r="D123" t="s">
        <v>52</v>
      </c>
      <c r="E123" t="s">
        <v>23</v>
      </c>
      <c r="F123" t="s">
        <v>19</v>
      </c>
      <c r="G123">
        <v>10</v>
      </c>
      <c r="H123">
        <v>0.99</v>
      </c>
      <c r="I123">
        <v>0</v>
      </c>
      <c r="J123">
        <v>9.9</v>
      </c>
      <c r="K123">
        <v>0</v>
      </c>
    </row>
    <row r="124" spans="1:11" x14ac:dyDescent="0.25">
      <c r="A124">
        <v>2032</v>
      </c>
      <c r="B124" s="1">
        <v>45338</v>
      </c>
      <c r="C124" t="s">
        <v>65</v>
      </c>
      <c r="D124" t="s">
        <v>52</v>
      </c>
      <c r="E124" t="s">
        <v>23</v>
      </c>
      <c r="F124" t="s">
        <v>19</v>
      </c>
      <c r="G124">
        <v>10</v>
      </c>
      <c r="H124">
        <v>0.99</v>
      </c>
      <c r="I124">
        <v>0</v>
      </c>
      <c r="J124">
        <v>9.9</v>
      </c>
      <c r="K124">
        <v>0</v>
      </c>
    </row>
    <row r="125" spans="1:11" x14ac:dyDescent="0.25">
      <c r="A125">
        <v>2033</v>
      </c>
      <c r="B125" s="1">
        <v>45339</v>
      </c>
      <c r="C125" t="s">
        <v>65</v>
      </c>
      <c r="D125" t="s">
        <v>53</v>
      </c>
      <c r="E125" t="s">
        <v>10</v>
      </c>
      <c r="F125" t="s">
        <v>11</v>
      </c>
      <c r="G125">
        <v>1</v>
      </c>
      <c r="H125">
        <v>39.99</v>
      </c>
      <c r="I125">
        <v>0</v>
      </c>
      <c r="J125">
        <v>39.99</v>
      </c>
      <c r="K125">
        <v>0</v>
      </c>
    </row>
    <row r="126" spans="1:11" x14ac:dyDescent="0.25">
      <c r="A126">
        <v>2033</v>
      </c>
      <c r="B126" s="1">
        <v>45339</v>
      </c>
      <c r="C126" t="s">
        <v>65</v>
      </c>
      <c r="D126" t="s">
        <v>53</v>
      </c>
      <c r="E126" t="s">
        <v>10</v>
      </c>
      <c r="F126" t="s">
        <v>11</v>
      </c>
      <c r="G126">
        <v>1</v>
      </c>
      <c r="H126">
        <v>39.99</v>
      </c>
      <c r="I126">
        <v>0</v>
      </c>
      <c r="J126">
        <v>39.99</v>
      </c>
      <c r="K126">
        <v>0</v>
      </c>
    </row>
    <row r="127" spans="1:11" x14ac:dyDescent="0.25">
      <c r="A127">
        <v>2034</v>
      </c>
      <c r="B127" s="1">
        <v>45339</v>
      </c>
      <c r="C127" t="s">
        <v>65</v>
      </c>
      <c r="D127" t="s">
        <v>54</v>
      </c>
      <c r="E127" t="s">
        <v>13</v>
      </c>
      <c r="F127" t="s">
        <v>14</v>
      </c>
      <c r="G127">
        <v>1</v>
      </c>
      <c r="H127">
        <v>149.99</v>
      </c>
      <c r="I127">
        <v>0.1</v>
      </c>
      <c r="J127">
        <v>134.99100000000001</v>
      </c>
      <c r="K127">
        <v>14.999000000000002</v>
      </c>
    </row>
    <row r="128" spans="1:11" x14ac:dyDescent="0.25">
      <c r="A128">
        <v>2034</v>
      </c>
      <c r="B128" s="1">
        <v>45339</v>
      </c>
      <c r="C128" t="s">
        <v>65</v>
      </c>
      <c r="D128" t="s">
        <v>54</v>
      </c>
      <c r="E128" t="s">
        <v>13</v>
      </c>
      <c r="F128" t="s">
        <v>14</v>
      </c>
      <c r="G128">
        <v>1</v>
      </c>
      <c r="H128">
        <v>149.99</v>
      </c>
      <c r="I128">
        <v>0.1</v>
      </c>
      <c r="J128">
        <v>134.99100000000001</v>
      </c>
      <c r="K128">
        <v>14.999000000000002</v>
      </c>
    </row>
    <row r="129" spans="1:11" x14ac:dyDescent="0.25">
      <c r="A129">
        <v>2035</v>
      </c>
      <c r="B129" s="1">
        <v>45340</v>
      </c>
      <c r="C129" t="s">
        <v>65</v>
      </c>
      <c r="D129" t="s">
        <v>55</v>
      </c>
      <c r="E129" t="s">
        <v>16</v>
      </c>
      <c r="F129" t="s">
        <v>17</v>
      </c>
      <c r="G129">
        <v>1</v>
      </c>
      <c r="H129">
        <v>14.99</v>
      </c>
      <c r="I129">
        <v>0</v>
      </c>
      <c r="J129">
        <v>14.99</v>
      </c>
      <c r="K129">
        <v>0</v>
      </c>
    </row>
    <row r="130" spans="1:11" x14ac:dyDescent="0.25">
      <c r="A130">
        <v>2035</v>
      </c>
      <c r="B130" s="1">
        <v>45340</v>
      </c>
      <c r="C130" t="s">
        <v>65</v>
      </c>
      <c r="D130" t="s">
        <v>55</v>
      </c>
      <c r="E130" t="s">
        <v>16</v>
      </c>
      <c r="F130" t="s">
        <v>17</v>
      </c>
      <c r="G130">
        <v>1</v>
      </c>
      <c r="H130">
        <v>14.99</v>
      </c>
      <c r="I130">
        <v>0</v>
      </c>
      <c r="J130">
        <v>14.99</v>
      </c>
      <c r="K130">
        <v>0</v>
      </c>
    </row>
    <row r="131" spans="1:11" x14ac:dyDescent="0.25">
      <c r="A131">
        <v>2036</v>
      </c>
      <c r="B131" s="1">
        <v>45340</v>
      </c>
      <c r="C131" t="s">
        <v>65</v>
      </c>
      <c r="D131" t="s">
        <v>24</v>
      </c>
      <c r="E131" t="s">
        <v>21</v>
      </c>
      <c r="F131" t="s">
        <v>19</v>
      </c>
      <c r="G131">
        <v>1</v>
      </c>
      <c r="H131">
        <v>149.99</v>
      </c>
      <c r="I131">
        <v>0.15</v>
      </c>
      <c r="J131">
        <v>127.4915</v>
      </c>
      <c r="K131">
        <v>22.4985</v>
      </c>
    </row>
    <row r="132" spans="1:11" x14ac:dyDescent="0.25">
      <c r="A132">
        <v>2036</v>
      </c>
      <c r="B132" s="1">
        <v>45340</v>
      </c>
      <c r="C132" t="s">
        <v>65</v>
      </c>
      <c r="D132" t="s">
        <v>24</v>
      </c>
      <c r="E132" t="s">
        <v>21</v>
      </c>
      <c r="F132" t="s">
        <v>19</v>
      </c>
      <c r="G132">
        <v>1</v>
      </c>
      <c r="H132">
        <v>149.99</v>
      </c>
      <c r="I132">
        <v>0.15</v>
      </c>
      <c r="J132">
        <v>127.4915</v>
      </c>
      <c r="K132">
        <v>22.4985</v>
      </c>
    </row>
    <row r="133" spans="1:11" x14ac:dyDescent="0.25">
      <c r="A133">
        <v>2037</v>
      </c>
      <c r="B133" s="1">
        <v>45341</v>
      </c>
      <c r="C133" t="s">
        <v>65</v>
      </c>
      <c r="D133" t="s">
        <v>56</v>
      </c>
      <c r="E133" t="s">
        <v>23</v>
      </c>
      <c r="F133" t="s">
        <v>11</v>
      </c>
      <c r="G133">
        <v>7</v>
      </c>
      <c r="H133">
        <v>0.79</v>
      </c>
      <c r="I133">
        <v>0</v>
      </c>
      <c r="J133">
        <v>5.53</v>
      </c>
      <c r="K133">
        <v>0</v>
      </c>
    </row>
    <row r="134" spans="1:11" x14ac:dyDescent="0.25">
      <c r="A134">
        <v>2037</v>
      </c>
      <c r="B134" s="1">
        <v>45341</v>
      </c>
      <c r="C134" t="s">
        <v>65</v>
      </c>
      <c r="D134" t="s">
        <v>56</v>
      </c>
      <c r="E134" t="s">
        <v>23</v>
      </c>
      <c r="F134" t="s">
        <v>11</v>
      </c>
      <c r="G134">
        <v>7</v>
      </c>
      <c r="H134">
        <v>0.79</v>
      </c>
      <c r="I134">
        <v>0</v>
      </c>
      <c r="J134">
        <v>5.53</v>
      </c>
      <c r="K134">
        <v>0</v>
      </c>
    </row>
    <row r="135" spans="1:11" x14ac:dyDescent="0.25">
      <c r="A135">
        <v>2038</v>
      </c>
      <c r="B135" s="1">
        <v>45341</v>
      </c>
      <c r="C135" t="s">
        <v>65</v>
      </c>
      <c r="D135" t="s">
        <v>57</v>
      </c>
      <c r="E135" t="s">
        <v>10</v>
      </c>
      <c r="F135" t="s">
        <v>14</v>
      </c>
      <c r="G135">
        <v>1</v>
      </c>
      <c r="H135">
        <v>599.99</v>
      </c>
      <c r="I135">
        <v>0.1</v>
      </c>
      <c r="J135">
        <v>539.99099999999999</v>
      </c>
      <c r="K135">
        <v>59.999000000000002</v>
      </c>
    </row>
    <row r="136" spans="1:11" x14ac:dyDescent="0.25">
      <c r="A136">
        <v>2038</v>
      </c>
      <c r="B136" s="1">
        <v>45341</v>
      </c>
      <c r="C136" t="s">
        <v>65</v>
      </c>
      <c r="D136" t="s">
        <v>57</v>
      </c>
      <c r="E136" t="s">
        <v>10</v>
      </c>
      <c r="F136" t="s">
        <v>14</v>
      </c>
      <c r="G136">
        <v>1</v>
      </c>
      <c r="H136">
        <v>599.99</v>
      </c>
      <c r="I136">
        <v>0.1</v>
      </c>
      <c r="J136">
        <v>539.99099999999999</v>
      </c>
      <c r="K136">
        <v>59.999000000000002</v>
      </c>
    </row>
    <row r="137" spans="1:11" x14ac:dyDescent="0.25">
      <c r="A137">
        <v>2039</v>
      </c>
      <c r="B137" s="1">
        <v>45342</v>
      </c>
      <c r="C137" t="s">
        <v>65</v>
      </c>
      <c r="D137" t="s">
        <v>25</v>
      </c>
      <c r="E137" t="s">
        <v>13</v>
      </c>
      <c r="F137" t="s">
        <v>17</v>
      </c>
      <c r="G137">
        <v>2</v>
      </c>
      <c r="H137">
        <v>49.99</v>
      </c>
      <c r="I137">
        <v>0</v>
      </c>
      <c r="J137">
        <v>99.98</v>
      </c>
      <c r="K137">
        <v>0</v>
      </c>
    </row>
    <row r="138" spans="1:11" x14ac:dyDescent="0.25">
      <c r="A138">
        <v>2039</v>
      </c>
      <c r="B138" s="1">
        <v>45342</v>
      </c>
      <c r="C138" t="s">
        <v>65</v>
      </c>
      <c r="D138" t="s">
        <v>25</v>
      </c>
      <c r="E138" t="s">
        <v>13</v>
      </c>
      <c r="F138" t="s">
        <v>17</v>
      </c>
      <c r="G138">
        <v>2</v>
      </c>
      <c r="H138">
        <v>49.99</v>
      </c>
      <c r="I138">
        <v>0</v>
      </c>
      <c r="J138">
        <v>99.98</v>
      </c>
      <c r="K138">
        <v>0</v>
      </c>
    </row>
    <row r="139" spans="1:11" x14ac:dyDescent="0.25">
      <c r="A139">
        <v>2040</v>
      </c>
      <c r="B139" s="1">
        <v>45342</v>
      </c>
      <c r="C139" t="s">
        <v>65</v>
      </c>
      <c r="D139" t="s">
        <v>58</v>
      </c>
      <c r="E139" t="s">
        <v>16</v>
      </c>
      <c r="F139" t="s">
        <v>19</v>
      </c>
      <c r="G139">
        <v>3</v>
      </c>
      <c r="H139">
        <v>9.99</v>
      </c>
      <c r="I139">
        <v>0</v>
      </c>
      <c r="J139">
        <v>29.97</v>
      </c>
      <c r="K139">
        <v>0</v>
      </c>
    </row>
    <row r="140" spans="1:11" x14ac:dyDescent="0.25">
      <c r="A140">
        <v>2040</v>
      </c>
      <c r="B140" s="1">
        <v>45342</v>
      </c>
      <c r="C140" t="s">
        <v>65</v>
      </c>
      <c r="D140" t="s">
        <v>58</v>
      </c>
      <c r="E140" t="s">
        <v>16</v>
      </c>
      <c r="F140" t="s">
        <v>19</v>
      </c>
      <c r="G140">
        <v>3</v>
      </c>
      <c r="H140">
        <v>9.99</v>
      </c>
      <c r="I140">
        <v>0</v>
      </c>
      <c r="J140">
        <v>29.97</v>
      </c>
      <c r="K140">
        <v>0</v>
      </c>
    </row>
    <row r="141" spans="1:11" x14ac:dyDescent="0.25">
      <c r="A141">
        <v>2041</v>
      </c>
      <c r="B141" s="1">
        <v>45343</v>
      </c>
      <c r="C141" t="s">
        <v>65</v>
      </c>
      <c r="D141" t="s">
        <v>20</v>
      </c>
      <c r="E141" t="s">
        <v>21</v>
      </c>
      <c r="F141" t="s">
        <v>11</v>
      </c>
      <c r="G141">
        <v>1</v>
      </c>
      <c r="H141">
        <v>22.5</v>
      </c>
      <c r="I141">
        <v>0</v>
      </c>
      <c r="J141">
        <v>22.5</v>
      </c>
      <c r="K141">
        <v>0</v>
      </c>
    </row>
    <row r="142" spans="1:11" x14ac:dyDescent="0.25">
      <c r="A142">
        <v>2041</v>
      </c>
      <c r="B142" s="1">
        <v>45343</v>
      </c>
      <c r="C142" t="s">
        <v>65</v>
      </c>
      <c r="D142" t="s">
        <v>20</v>
      </c>
      <c r="E142" t="s">
        <v>21</v>
      </c>
      <c r="F142" t="s">
        <v>11</v>
      </c>
      <c r="G142">
        <v>1</v>
      </c>
      <c r="H142">
        <v>22.5</v>
      </c>
      <c r="I142">
        <v>0</v>
      </c>
      <c r="J142">
        <v>22.5</v>
      </c>
      <c r="K142">
        <v>0</v>
      </c>
    </row>
    <row r="143" spans="1:11" x14ac:dyDescent="0.25">
      <c r="A143">
        <v>2042</v>
      </c>
      <c r="B143" s="1">
        <v>45343</v>
      </c>
      <c r="C143" t="s">
        <v>65</v>
      </c>
      <c r="D143" t="s">
        <v>22</v>
      </c>
      <c r="E143" t="s">
        <v>23</v>
      </c>
      <c r="F143" t="s">
        <v>14</v>
      </c>
      <c r="G143">
        <v>5</v>
      </c>
      <c r="H143">
        <v>2.99</v>
      </c>
      <c r="I143">
        <v>0</v>
      </c>
      <c r="J143">
        <v>14.950000000000001</v>
      </c>
      <c r="K143">
        <v>0</v>
      </c>
    </row>
    <row r="144" spans="1:11" x14ac:dyDescent="0.25">
      <c r="A144">
        <v>2042</v>
      </c>
      <c r="B144" s="1">
        <v>45343</v>
      </c>
      <c r="C144" t="s">
        <v>65</v>
      </c>
      <c r="D144" t="s">
        <v>22</v>
      </c>
      <c r="E144" t="s">
        <v>23</v>
      </c>
      <c r="F144" t="s">
        <v>14</v>
      </c>
      <c r="G144">
        <v>5</v>
      </c>
      <c r="H144">
        <v>2.99</v>
      </c>
      <c r="I144">
        <v>0</v>
      </c>
      <c r="J144">
        <v>14.950000000000001</v>
      </c>
      <c r="K144">
        <v>0</v>
      </c>
    </row>
    <row r="145" spans="1:11" x14ac:dyDescent="0.25">
      <c r="A145">
        <v>2043</v>
      </c>
      <c r="B145" s="1">
        <v>45344</v>
      </c>
      <c r="C145" t="s">
        <v>65</v>
      </c>
      <c r="D145" t="s">
        <v>59</v>
      </c>
      <c r="E145" t="s">
        <v>10</v>
      </c>
      <c r="F145" t="s">
        <v>17</v>
      </c>
      <c r="G145">
        <v>1</v>
      </c>
      <c r="H145">
        <v>29.99</v>
      </c>
      <c r="I145">
        <v>0</v>
      </c>
      <c r="J145">
        <v>29.99</v>
      </c>
      <c r="K145">
        <v>0</v>
      </c>
    </row>
    <row r="146" spans="1:11" x14ac:dyDescent="0.25">
      <c r="A146">
        <v>2043</v>
      </c>
      <c r="B146" s="1">
        <v>45344</v>
      </c>
      <c r="C146" t="s">
        <v>65</v>
      </c>
      <c r="D146" t="s">
        <v>59</v>
      </c>
      <c r="E146" t="s">
        <v>10</v>
      </c>
      <c r="F146" t="s">
        <v>17</v>
      </c>
      <c r="G146">
        <v>1</v>
      </c>
      <c r="H146">
        <v>29.99</v>
      </c>
      <c r="I146">
        <v>0</v>
      </c>
      <c r="J146">
        <v>29.99</v>
      </c>
      <c r="K146">
        <v>0</v>
      </c>
    </row>
    <row r="147" spans="1:11" x14ac:dyDescent="0.25">
      <c r="A147">
        <v>2044</v>
      </c>
      <c r="B147" s="1">
        <v>45344</v>
      </c>
      <c r="C147" t="s">
        <v>65</v>
      </c>
      <c r="D147" t="s">
        <v>31</v>
      </c>
      <c r="E147" t="s">
        <v>13</v>
      </c>
      <c r="F147" t="s">
        <v>19</v>
      </c>
      <c r="G147">
        <v>1</v>
      </c>
      <c r="H147">
        <v>89.99</v>
      </c>
      <c r="I147">
        <v>0.05</v>
      </c>
      <c r="J147">
        <v>85.490499999999997</v>
      </c>
      <c r="K147">
        <v>4.4995000000000003</v>
      </c>
    </row>
    <row r="148" spans="1:11" x14ac:dyDescent="0.25">
      <c r="A148">
        <v>2044</v>
      </c>
      <c r="B148" s="1">
        <v>45344</v>
      </c>
      <c r="C148" t="s">
        <v>65</v>
      </c>
      <c r="D148" t="s">
        <v>31</v>
      </c>
      <c r="E148" t="s">
        <v>13</v>
      </c>
      <c r="F148" t="s">
        <v>19</v>
      </c>
      <c r="G148">
        <v>1</v>
      </c>
      <c r="H148">
        <v>89.99</v>
      </c>
      <c r="I148">
        <v>0.05</v>
      </c>
      <c r="J148">
        <v>85.490499999999997</v>
      </c>
      <c r="K148">
        <v>4.4995000000000003</v>
      </c>
    </row>
    <row r="149" spans="1:11" x14ac:dyDescent="0.25">
      <c r="A149">
        <v>2045</v>
      </c>
      <c r="B149" s="1">
        <v>45345</v>
      </c>
      <c r="C149" t="s">
        <v>65</v>
      </c>
      <c r="D149" t="s">
        <v>32</v>
      </c>
      <c r="E149" t="s">
        <v>16</v>
      </c>
      <c r="F149" t="s">
        <v>11</v>
      </c>
      <c r="G149">
        <v>1</v>
      </c>
      <c r="H149">
        <v>499.99</v>
      </c>
      <c r="I149">
        <v>0.2</v>
      </c>
      <c r="J149">
        <v>399.99200000000002</v>
      </c>
      <c r="K149">
        <v>99.998000000000005</v>
      </c>
    </row>
    <row r="150" spans="1:11" x14ac:dyDescent="0.25">
      <c r="A150">
        <v>2045</v>
      </c>
      <c r="B150" s="1">
        <v>45345</v>
      </c>
      <c r="C150" t="s">
        <v>65</v>
      </c>
      <c r="D150" t="s">
        <v>32</v>
      </c>
      <c r="E150" t="s">
        <v>16</v>
      </c>
      <c r="F150" t="s">
        <v>11</v>
      </c>
      <c r="G150">
        <v>1</v>
      </c>
      <c r="H150">
        <v>499.99</v>
      </c>
      <c r="I150">
        <v>0.2</v>
      </c>
      <c r="J150">
        <v>399.99200000000002</v>
      </c>
      <c r="K150">
        <v>99.998000000000005</v>
      </c>
    </row>
    <row r="151" spans="1:11" x14ac:dyDescent="0.25">
      <c r="A151">
        <v>2046</v>
      </c>
      <c r="B151" s="1">
        <v>45345</v>
      </c>
      <c r="C151" t="s">
        <v>65</v>
      </c>
      <c r="D151" t="s">
        <v>42</v>
      </c>
      <c r="E151" t="s">
        <v>21</v>
      </c>
      <c r="F151" t="s">
        <v>14</v>
      </c>
      <c r="G151">
        <v>1</v>
      </c>
      <c r="H151">
        <v>199.99</v>
      </c>
      <c r="I151">
        <v>0.1</v>
      </c>
      <c r="J151">
        <v>179.99100000000001</v>
      </c>
      <c r="K151">
        <v>19.999000000000002</v>
      </c>
    </row>
    <row r="152" spans="1:11" x14ac:dyDescent="0.25">
      <c r="A152">
        <v>2046</v>
      </c>
      <c r="B152" s="1">
        <v>45345</v>
      </c>
      <c r="C152" t="s">
        <v>65</v>
      </c>
      <c r="D152" t="s">
        <v>42</v>
      </c>
      <c r="E152" t="s">
        <v>21</v>
      </c>
      <c r="F152" t="s">
        <v>14</v>
      </c>
      <c r="G152">
        <v>1</v>
      </c>
      <c r="H152">
        <v>199.99</v>
      </c>
      <c r="I152">
        <v>0.1</v>
      </c>
      <c r="J152">
        <v>179.99100000000001</v>
      </c>
      <c r="K152">
        <v>19.999000000000002</v>
      </c>
    </row>
    <row r="153" spans="1:11" x14ac:dyDescent="0.25">
      <c r="A153">
        <v>2047</v>
      </c>
      <c r="B153" s="1">
        <v>45346</v>
      </c>
      <c r="C153" t="s">
        <v>65</v>
      </c>
      <c r="D153" t="s">
        <v>33</v>
      </c>
      <c r="E153" t="s">
        <v>23</v>
      </c>
      <c r="F153" t="s">
        <v>17</v>
      </c>
      <c r="G153">
        <v>4</v>
      </c>
      <c r="H153">
        <v>4.99</v>
      </c>
      <c r="I153">
        <v>0</v>
      </c>
      <c r="J153">
        <v>19.96</v>
      </c>
      <c r="K153">
        <v>0</v>
      </c>
    </row>
    <row r="154" spans="1:11" x14ac:dyDescent="0.25">
      <c r="A154">
        <v>2047</v>
      </c>
      <c r="B154" s="1">
        <v>45346</v>
      </c>
      <c r="C154" t="s">
        <v>65</v>
      </c>
      <c r="D154" t="s">
        <v>33</v>
      </c>
      <c r="E154" t="s">
        <v>23</v>
      </c>
      <c r="F154" t="s">
        <v>17</v>
      </c>
      <c r="G154">
        <v>4</v>
      </c>
      <c r="H154">
        <v>4.99</v>
      </c>
      <c r="I154">
        <v>0</v>
      </c>
      <c r="J154">
        <v>19.96</v>
      </c>
      <c r="K154">
        <v>0</v>
      </c>
    </row>
    <row r="155" spans="1:11" x14ac:dyDescent="0.25">
      <c r="A155">
        <v>2048</v>
      </c>
      <c r="B155" s="1">
        <v>45346</v>
      </c>
      <c r="C155" t="s">
        <v>65</v>
      </c>
      <c r="D155" t="s">
        <v>34</v>
      </c>
      <c r="E155" t="s">
        <v>10</v>
      </c>
      <c r="F155" t="s">
        <v>19</v>
      </c>
      <c r="G155">
        <v>1</v>
      </c>
      <c r="H155">
        <v>29.99</v>
      </c>
      <c r="I155">
        <v>0</v>
      </c>
      <c r="J155">
        <v>29.99</v>
      </c>
      <c r="K155">
        <v>0</v>
      </c>
    </row>
    <row r="156" spans="1:11" x14ac:dyDescent="0.25">
      <c r="A156">
        <v>2048</v>
      </c>
      <c r="B156" s="1">
        <v>45346</v>
      </c>
      <c r="C156" t="s">
        <v>65</v>
      </c>
      <c r="D156" t="s">
        <v>34</v>
      </c>
      <c r="E156" t="s">
        <v>10</v>
      </c>
      <c r="F156" t="s">
        <v>19</v>
      </c>
      <c r="G156">
        <v>1</v>
      </c>
      <c r="H156">
        <v>29.99</v>
      </c>
      <c r="I156">
        <v>0</v>
      </c>
      <c r="J156">
        <v>29.99</v>
      </c>
      <c r="K156">
        <v>0</v>
      </c>
    </row>
    <row r="157" spans="1:11" x14ac:dyDescent="0.25">
      <c r="A157">
        <v>2049</v>
      </c>
      <c r="B157" s="1">
        <v>45347</v>
      </c>
      <c r="C157" t="s">
        <v>65</v>
      </c>
      <c r="D157" t="s">
        <v>35</v>
      </c>
      <c r="E157" t="s">
        <v>13</v>
      </c>
      <c r="F157" t="s">
        <v>11</v>
      </c>
      <c r="G157">
        <v>1</v>
      </c>
      <c r="H157">
        <v>129.99</v>
      </c>
      <c r="I157">
        <v>0</v>
      </c>
      <c r="J157">
        <v>129.99</v>
      </c>
      <c r="K157">
        <v>0</v>
      </c>
    </row>
    <row r="158" spans="1:11" x14ac:dyDescent="0.25">
      <c r="A158">
        <v>2049</v>
      </c>
      <c r="B158" s="1">
        <v>45347</v>
      </c>
      <c r="C158" t="s">
        <v>65</v>
      </c>
      <c r="D158" t="s">
        <v>35</v>
      </c>
      <c r="E158" t="s">
        <v>13</v>
      </c>
      <c r="F158" t="s">
        <v>11</v>
      </c>
      <c r="G158">
        <v>1</v>
      </c>
      <c r="H158">
        <v>129.99</v>
      </c>
      <c r="I158">
        <v>0</v>
      </c>
      <c r="J158">
        <v>129.99</v>
      </c>
      <c r="K158">
        <v>0</v>
      </c>
    </row>
    <row r="159" spans="1:11" x14ac:dyDescent="0.25">
      <c r="A159">
        <v>2050</v>
      </c>
      <c r="B159" s="1">
        <v>45347</v>
      </c>
      <c r="C159" t="s">
        <v>65</v>
      </c>
      <c r="D159" t="s">
        <v>27</v>
      </c>
      <c r="E159" t="s">
        <v>16</v>
      </c>
      <c r="F159" t="s">
        <v>14</v>
      </c>
      <c r="G159">
        <v>5</v>
      </c>
      <c r="H159">
        <v>9.99</v>
      </c>
      <c r="I159">
        <v>0</v>
      </c>
      <c r="J159">
        <v>49.95</v>
      </c>
      <c r="K159">
        <v>0</v>
      </c>
    </row>
    <row r="160" spans="1:11" x14ac:dyDescent="0.25">
      <c r="A160">
        <v>3001</v>
      </c>
      <c r="B160" s="1">
        <v>45352</v>
      </c>
      <c r="C160" t="s">
        <v>65</v>
      </c>
      <c r="D160" t="s">
        <v>9</v>
      </c>
      <c r="E160" t="s">
        <v>10</v>
      </c>
      <c r="F160" t="s">
        <v>11</v>
      </c>
      <c r="G160">
        <v>2</v>
      </c>
      <c r="H160">
        <v>15.99</v>
      </c>
      <c r="I160">
        <v>0</v>
      </c>
      <c r="J160">
        <v>31.98</v>
      </c>
      <c r="K160">
        <v>0</v>
      </c>
    </row>
    <row r="161" spans="1:11" x14ac:dyDescent="0.25">
      <c r="A161">
        <v>3002</v>
      </c>
      <c r="B161" s="1">
        <v>45352</v>
      </c>
      <c r="C161" t="s">
        <v>65</v>
      </c>
      <c r="D161" t="s">
        <v>31</v>
      </c>
      <c r="E161" t="s">
        <v>13</v>
      </c>
      <c r="F161" t="s">
        <v>14</v>
      </c>
      <c r="G161">
        <v>1</v>
      </c>
      <c r="H161">
        <v>89.99</v>
      </c>
      <c r="I161">
        <v>0.05</v>
      </c>
      <c r="J161">
        <v>85.490499999999997</v>
      </c>
      <c r="K161">
        <v>4.4995000000000003</v>
      </c>
    </row>
    <row r="162" spans="1:11" x14ac:dyDescent="0.25">
      <c r="A162">
        <v>3003</v>
      </c>
      <c r="B162" s="1">
        <v>45353</v>
      </c>
      <c r="C162" t="s">
        <v>65</v>
      </c>
      <c r="D162" t="s">
        <v>15</v>
      </c>
      <c r="E162" t="s">
        <v>16</v>
      </c>
      <c r="F162" t="s">
        <v>17</v>
      </c>
      <c r="G162">
        <v>1</v>
      </c>
      <c r="H162">
        <v>59.99</v>
      </c>
      <c r="I162">
        <v>0</v>
      </c>
      <c r="J162">
        <v>59.99</v>
      </c>
      <c r="K162">
        <v>0</v>
      </c>
    </row>
    <row r="163" spans="1:11" x14ac:dyDescent="0.25">
      <c r="A163">
        <v>3003</v>
      </c>
      <c r="B163" s="1">
        <v>45353</v>
      </c>
      <c r="C163" t="s">
        <v>65</v>
      </c>
      <c r="D163" t="s">
        <v>27</v>
      </c>
      <c r="E163" t="s">
        <v>16</v>
      </c>
      <c r="F163" t="s">
        <v>14</v>
      </c>
      <c r="G163">
        <v>2</v>
      </c>
      <c r="H163">
        <v>9.99</v>
      </c>
      <c r="I163">
        <v>0</v>
      </c>
      <c r="J163">
        <v>19.98</v>
      </c>
      <c r="K163">
        <v>0</v>
      </c>
    </row>
    <row r="164" spans="1:11" x14ac:dyDescent="0.25">
      <c r="A164">
        <v>3004</v>
      </c>
      <c r="B164" s="1">
        <v>45353</v>
      </c>
      <c r="C164" t="s">
        <v>65</v>
      </c>
      <c r="D164" t="s">
        <v>20</v>
      </c>
      <c r="E164" t="s">
        <v>21</v>
      </c>
      <c r="F164" t="s">
        <v>19</v>
      </c>
      <c r="G164">
        <v>2</v>
      </c>
      <c r="H164">
        <v>22.5</v>
      </c>
      <c r="I164">
        <v>0</v>
      </c>
      <c r="J164">
        <v>45</v>
      </c>
      <c r="K164">
        <v>0</v>
      </c>
    </row>
    <row r="165" spans="1:11" x14ac:dyDescent="0.25">
      <c r="A165">
        <v>3005</v>
      </c>
      <c r="B165" s="1">
        <v>45354</v>
      </c>
      <c r="C165" t="s">
        <v>65</v>
      </c>
      <c r="D165" t="s">
        <v>22</v>
      </c>
      <c r="E165" t="s">
        <v>23</v>
      </c>
      <c r="F165" t="s">
        <v>11</v>
      </c>
      <c r="G165">
        <v>4</v>
      </c>
      <c r="H165">
        <v>2.99</v>
      </c>
      <c r="I165">
        <v>0</v>
      </c>
      <c r="J165">
        <v>11.96</v>
      </c>
      <c r="K165">
        <v>0</v>
      </c>
    </row>
    <row r="166" spans="1:11" x14ac:dyDescent="0.25">
      <c r="A166">
        <v>3006</v>
      </c>
      <c r="B166" s="1">
        <v>45354</v>
      </c>
      <c r="C166" t="s">
        <v>65</v>
      </c>
      <c r="D166" t="s">
        <v>18</v>
      </c>
      <c r="E166" t="s">
        <v>10</v>
      </c>
      <c r="F166" t="s">
        <v>14</v>
      </c>
      <c r="G166">
        <v>1</v>
      </c>
      <c r="H166">
        <v>129.99</v>
      </c>
      <c r="I166">
        <v>0.1</v>
      </c>
      <c r="J166">
        <v>116.99100000000001</v>
      </c>
      <c r="K166">
        <v>12.999000000000002</v>
      </c>
    </row>
    <row r="167" spans="1:11" x14ac:dyDescent="0.25">
      <c r="A167">
        <v>3007</v>
      </c>
      <c r="B167" s="1">
        <v>45355</v>
      </c>
      <c r="C167" t="s">
        <v>65</v>
      </c>
      <c r="D167" t="s">
        <v>25</v>
      </c>
      <c r="E167" t="s">
        <v>13</v>
      </c>
      <c r="F167" t="s">
        <v>17</v>
      </c>
      <c r="G167">
        <v>1</v>
      </c>
      <c r="H167">
        <v>49.99</v>
      </c>
      <c r="I167">
        <v>0</v>
      </c>
      <c r="J167">
        <v>49.99</v>
      </c>
      <c r="K167">
        <v>0</v>
      </c>
    </row>
    <row r="168" spans="1:11" x14ac:dyDescent="0.25">
      <c r="A168">
        <v>3008</v>
      </c>
      <c r="B168" s="1">
        <v>45355</v>
      </c>
      <c r="C168" t="s">
        <v>65</v>
      </c>
      <c r="D168" t="s">
        <v>24</v>
      </c>
      <c r="E168" t="s">
        <v>21</v>
      </c>
      <c r="F168" t="s">
        <v>19</v>
      </c>
      <c r="G168">
        <v>1</v>
      </c>
      <c r="H168">
        <v>149.99</v>
      </c>
      <c r="I168">
        <v>0.15</v>
      </c>
      <c r="J168">
        <v>127.4915</v>
      </c>
      <c r="K168">
        <v>22.4985</v>
      </c>
    </row>
    <row r="169" spans="1:11" x14ac:dyDescent="0.25">
      <c r="A169">
        <v>3009</v>
      </c>
      <c r="B169" s="1">
        <v>45356</v>
      </c>
      <c r="C169" t="s">
        <v>65</v>
      </c>
      <c r="D169" t="s">
        <v>26</v>
      </c>
      <c r="E169" t="s">
        <v>10</v>
      </c>
      <c r="F169" t="s">
        <v>11</v>
      </c>
      <c r="G169">
        <v>1</v>
      </c>
      <c r="H169">
        <v>39.99</v>
      </c>
      <c r="I169">
        <v>0</v>
      </c>
      <c r="J169">
        <v>39.99</v>
      </c>
      <c r="K169">
        <v>0</v>
      </c>
    </row>
    <row r="170" spans="1:11" x14ac:dyDescent="0.25">
      <c r="A170">
        <v>3011</v>
      </c>
      <c r="B170" s="1">
        <v>45357</v>
      </c>
      <c r="C170" t="s">
        <v>65</v>
      </c>
      <c r="D170" t="s">
        <v>28</v>
      </c>
      <c r="E170" t="s">
        <v>23</v>
      </c>
      <c r="F170" t="s">
        <v>17</v>
      </c>
      <c r="G170">
        <v>15</v>
      </c>
      <c r="H170">
        <v>0.99</v>
      </c>
      <c r="I170">
        <v>0</v>
      </c>
      <c r="J170">
        <v>14.85</v>
      </c>
      <c r="K170">
        <v>0</v>
      </c>
    </row>
    <row r="171" spans="1:11" x14ac:dyDescent="0.25">
      <c r="A171">
        <v>3012</v>
      </c>
      <c r="B171" s="1">
        <v>45357</v>
      </c>
      <c r="C171" t="s">
        <v>65</v>
      </c>
      <c r="D171" t="s">
        <v>29</v>
      </c>
      <c r="E171" t="s">
        <v>10</v>
      </c>
      <c r="F171" t="s">
        <v>19</v>
      </c>
      <c r="G171">
        <v>1</v>
      </c>
      <c r="H171">
        <v>199.99</v>
      </c>
      <c r="I171">
        <v>0.1</v>
      </c>
      <c r="J171">
        <v>179.99100000000001</v>
      </c>
      <c r="K171">
        <v>19.999000000000002</v>
      </c>
    </row>
    <row r="172" spans="1:11" x14ac:dyDescent="0.25">
      <c r="A172">
        <v>3012</v>
      </c>
      <c r="B172" s="1">
        <v>45357</v>
      </c>
      <c r="C172" t="s">
        <v>65</v>
      </c>
      <c r="D172" t="s">
        <v>35</v>
      </c>
      <c r="E172" t="s">
        <v>13</v>
      </c>
      <c r="F172" t="s">
        <v>14</v>
      </c>
      <c r="G172">
        <v>1</v>
      </c>
      <c r="H172">
        <v>129.99</v>
      </c>
      <c r="I172">
        <v>0.2</v>
      </c>
      <c r="J172">
        <v>103.99200000000002</v>
      </c>
      <c r="K172">
        <v>25.998000000000005</v>
      </c>
    </row>
    <row r="173" spans="1:11" x14ac:dyDescent="0.25">
      <c r="A173">
        <v>3013</v>
      </c>
      <c r="B173" s="1">
        <v>45358</v>
      </c>
      <c r="C173" t="s">
        <v>65</v>
      </c>
      <c r="D173" t="s">
        <v>30</v>
      </c>
      <c r="E173" t="s">
        <v>21</v>
      </c>
      <c r="F173" t="s">
        <v>11</v>
      </c>
      <c r="G173">
        <v>2</v>
      </c>
      <c r="H173">
        <v>12.99</v>
      </c>
      <c r="I173">
        <v>0</v>
      </c>
      <c r="J173">
        <v>25.98</v>
      </c>
      <c r="K173">
        <v>0</v>
      </c>
    </row>
    <row r="174" spans="1:11" x14ac:dyDescent="0.25">
      <c r="A174">
        <v>3014</v>
      </c>
      <c r="B174" s="1">
        <v>45358</v>
      </c>
      <c r="C174" t="s">
        <v>65</v>
      </c>
      <c r="D174" t="s">
        <v>35</v>
      </c>
      <c r="E174" t="s">
        <v>13</v>
      </c>
      <c r="F174" t="s">
        <v>14</v>
      </c>
      <c r="G174">
        <v>1</v>
      </c>
      <c r="H174">
        <v>129.99</v>
      </c>
      <c r="I174">
        <v>0.2</v>
      </c>
      <c r="J174">
        <v>103.99200000000002</v>
      </c>
      <c r="K174">
        <v>25.998000000000005</v>
      </c>
    </row>
    <row r="175" spans="1:11" x14ac:dyDescent="0.25">
      <c r="A175">
        <v>3015</v>
      </c>
      <c r="B175" s="1">
        <v>45359</v>
      </c>
      <c r="C175" t="s">
        <v>65</v>
      </c>
      <c r="D175" t="s">
        <v>55</v>
      </c>
      <c r="E175" t="s">
        <v>16</v>
      </c>
      <c r="F175" t="s">
        <v>17</v>
      </c>
      <c r="G175">
        <v>1</v>
      </c>
      <c r="H175">
        <v>14.99</v>
      </c>
      <c r="I175">
        <v>0</v>
      </c>
      <c r="J175">
        <v>14.99</v>
      </c>
      <c r="K175">
        <v>0</v>
      </c>
    </row>
    <row r="176" spans="1:11" x14ac:dyDescent="0.25">
      <c r="A176">
        <v>3015</v>
      </c>
      <c r="B176" s="1">
        <v>45359</v>
      </c>
      <c r="C176" t="s">
        <v>65</v>
      </c>
      <c r="D176" t="s">
        <v>36</v>
      </c>
      <c r="E176" t="s">
        <v>16</v>
      </c>
      <c r="F176" t="s">
        <v>17</v>
      </c>
      <c r="G176">
        <v>3</v>
      </c>
      <c r="H176">
        <v>19.989999999999998</v>
      </c>
      <c r="I176">
        <v>0</v>
      </c>
      <c r="J176">
        <v>59.97</v>
      </c>
      <c r="K176">
        <v>0</v>
      </c>
    </row>
    <row r="177" spans="1:11" x14ac:dyDescent="0.25">
      <c r="A177">
        <v>3016</v>
      </c>
      <c r="B177" s="1">
        <v>45359</v>
      </c>
      <c r="C177" t="s">
        <v>65</v>
      </c>
      <c r="D177" t="s">
        <v>37</v>
      </c>
      <c r="E177" t="s">
        <v>21</v>
      </c>
      <c r="F177" t="s">
        <v>19</v>
      </c>
      <c r="G177">
        <v>1</v>
      </c>
      <c r="H177">
        <v>89.99</v>
      </c>
      <c r="I177">
        <v>0</v>
      </c>
      <c r="J177">
        <v>89.99</v>
      </c>
      <c r="K177">
        <v>0</v>
      </c>
    </row>
    <row r="178" spans="1:11" x14ac:dyDescent="0.25">
      <c r="A178">
        <v>3017</v>
      </c>
      <c r="B178" s="1">
        <v>45360</v>
      </c>
      <c r="C178" t="s">
        <v>65</v>
      </c>
      <c r="D178" t="s">
        <v>38</v>
      </c>
      <c r="E178" t="s">
        <v>23</v>
      </c>
      <c r="F178" t="s">
        <v>11</v>
      </c>
      <c r="G178">
        <v>2</v>
      </c>
      <c r="H178">
        <v>5.99</v>
      </c>
      <c r="I178">
        <v>0</v>
      </c>
      <c r="J178">
        <v>11.98</v>
      </c>
      <c r="K178">
        <v>0</v>
      </c>
    </row>
    <row r="179" spans="1:11" x14ac:dyDescent="0.25">
      <c r="A179">
        <v>3018</v>
      </c>
      <c r="B179" s="1">
        <v>45360</v>
      </c>
      <c r="C179" t="s">
        <v>65</v>
      </c>
      <c r="D179" t="s">
        <v>39</v>
      </c>
      <c r="E179" t="s">
        <v>10</v>
      </c>
      <c r="F179" t="s">
        <v>14</v>
      </c>
      <c r="G179">
        <v>1</v>
      </c>
      <c r="H179">
        <v>249.99</v>
      </c>
      <c r="I179">
        <v>0.15</v>
      </c>
      <c r="J179">
        <v>212.4915</v>
      </c>
      <c r="K179">
        <v>37.4985</v>
      </c>
    </row>
    <row r="180" spans="1:11" x14ac:dyDescent="0.25">
      <c r="A180">
        <v>3019</v>
      </c>
      <c r="B180" s="1">
        <v>45361</v>
      </c>
      <c r="C180" t="s">
        <v>65</v>
      </c>
      <c r="D180" t="s">
        <v>40</v>
      </c>
      <c r="E180" t="s">
        <v>13</v>
      </c>
      <c r="F180" t="s">
        <v>17</v>
      </c>
      <c r="G180">
        <v>1</v>
      </c>
      <c r="H180">
        <v>29.99</v>
      </c>
      <c r="I180">
        <v>0</v>
      </c>
      <c r="J180">
        <v>29.99</v>
      </c>
      <c r="K180">
        <v>0</v>
      </c>
    </row>
    <row r="181" spans="1:11" x14ac:dyDescent="0.25">
      <c r="A181">
        <v>3020</v>
      </c>
      <c r="B181" s="1">
        <v>45361</v>
      </c>
      <c r="C181" t="s">
        <v>65</v>
      </c>
      <c r="D181" t="s">
        <v>41</v>
      </c>
      <c r="E181" t="s">
        <v>16</v>
      </c>
      <c r="F181" t="s">
        <v>19</v>
      </c>
      <c r="G181">
        <v>1</v>
      </c>
      <c r="H181">
        <v>24.99</v>
      </c>
      <c r="I181">
        <v>0</v>
      </c>
      <c r="J181">
        <v>24.99</v>
      </c>
      <c r="K181">
        <v>0</v>
      </c>
    </row>
    <row r="182" spans="1:11" x14ac:dyDescent="0.25">
      <c r="A182">
        <v>3021</v>
      </c>
      <c r="B182" s="1">
        <v>45362</v>
      </c>
      <c r="C182" t="s">
        <v>65</v>
      </c>
      <c r="D182" t="s">
        <v>42</v>
      </c>
      <c r="E182" t="s">
        <v>21</v>
      </c>
      <c r="F182" t="s">
        <v>11</v>
      </c>
      <c r="G182">
        <v>1</v>
      </c>
      <c r="H182">
        <v>199.99</v>
      </c>
      <c r="I182">
        <v>0.1</v>
      </c>
      <c r="J182">
        <v>179.99100000000001</v>
      </c>
      <c r="K182">
        <v>19.999000000000002</v>
      </c>
    </row>
    <row r="183" spans="1:11" x14ac:dyDescent="0.25">
      <c r="A183">
        <v>3022</v>
      </c>
      <c r="B183" s="1">
        <v>45362</v>
      </c>
      <c r="C183" t="s">
        <v>65</v>
      </c>
      <c r="D183" t="s">
        <v>43</v>
      </c>
      <c r="E183" t="s">
        <v>23</v>
      </c>
      <c r="F183" t="s">
        <v>14</v>
      </c>
      <c r="G183">
        <v>10</v>
      </c>
      <c r="H183">
        <v>1.99</v>
      </c>
      <c r="I183">
        <v>0</v>
      </c>
      <c r="J183">
        <v>19.899999999999999</v>
      </c>
      <c r="K183">
        <v>0</v>
      </c>
    </row>
    <row r="184" spans="1:11" x14ac:dyDescent="0.25">
      <c r="A184">
        <v>3023</v>
      </c>
      <c r="B184" s="1">
        <v>45363</v>
      </c>
      <c r="C184" t="s">
        <v>65</v>
      </c>
      <c r="D184" t="s">
        <v>44</v>
      </c>
      <c r="E184" t="s">
        <v>10</v>
      </c>
      <c r="F184" t="s">
        <v>17</v>
      </c>
      <c r="G184">
        <v>1</v>
      </c>
      <c r="H184">
        <v>49.99</v>
      </c>
      <c r="I184">
        <v>0</v>
      </c>
      <c r="J184">
        <v>49.99</v>
      </c>
      <c r="K184">
        <v>0</v>
      </c>
    </row>
    <row r="185" spans="1:11" x14ac:dyDescent="0.25">
      <c r="A185">
        <v>3024</v>
      </c>
      <c r="B185" s="1">
        <v>45363</v>
      </c>
      <c r="C185" t="s">
        <v>65</v>
      </c>
      <c r="D185" t="s">
        <v>45</v>
      </c>
      <c r="E185" t="s">
        <v>13</v>
      </c>
      <c r="F185" t="s">
        <v>19</v>
      </c>
      <c r="G185">
        <v>1</v>
      </c>
      <c r="H185">
        <v>99.99</v>
      </c>
      <c r="I185">
        <v>0.05</v>
      </c>
      <c r="J185">
        <v>94.990499999999997</v>
      </c>
      <c r="K185">
        <v>4.9995000000000003</v>
      </c>
    </row>
    <row r="186" spans="1:11" x14ac:dyDescent="0.25">
      <c r="A186">
        <v>3024</v>
      </c>
      <c r="B186" s="1">
        <v>45363</v>
      </c>
      <c r="C186" t="s">
        <v>65</v>
      </c>
      <c r="D186" t="s">
        <v>35</v>
      </c>
      <c r="E186" t="s">
        <v>13</v>
      </c>
      <c r="F186" t="s">
        <v>11</v>
      </c>
      <c r="G186">
        <v>1</v>
      </c>
      <c r="H186">
        <v>129.99</v>
      </c>
      <c r="I186">
        <v>0.2</v>
      </c>
      <c r="J186">
        <v>103.99200000000002</v>
      </c>
      <c r="K186">
        <v>25.998000000000005</v>
      </c>
    </row>
    <row r="187" spans="1:11" x14ac:dyDescent="0.25">
      <c r="A187">
        <v>3025</v>
      </c>
      <c r="B187" s="1">
        <v>45364</v>
      </c>
      <c r="C187" t="s">
        <v>65</v>
      </c>
      <c r="D187" t="s">
        <v>46</v>
      </c>
      <c r="E187" t="s">
        <v>16</v>
      </c>
      <c r="F187" t="s">
        <v>11</v>
      </c>
      <c r="G187">
        <v>1</v>
      </c>
      <c r="H187">
        <v>69.989999999999995</v>
      </c>
      <c r="I187">
        <v>0</v>
      </c>
      <c r="J187">
        <v>69.989999999999995</v>
      </c>
      <c r="K187">
        <v>0</v>
      </c>
    </row>
    <row r="188" spans="1:11" x14ac:dyDescent="0.25">
      <c r="A188">
        <v>3026</v>
      </c>
      <c r="B188" s="1">
        <v>45364</v>
      </c>
      <c r="C188" t="s">
        <v>65</v>
      </c>
      <c r="D188" t="s">
        <v>47</v>
      </c>
      <c r="E188" t="s">
        <v>21</v>
      </c>
      <c r="F188" t="s">
        <v>14</v>
      </c>
      <c r="G188">
        <v>1</v>
      </c>
      <c r="H188">
        <v>129.99</v>
      </c>
      <c r="I188">
        <v>0</v>
      </c>
      <c r="J188">
        <v>129.99</v>
      </c>
      <c r="K188">
        <v>0</v>
      </c>
    </row>
    <row r="189" spans="1:11" x14ac:dyDescent="0.25">
      <c r="A189">
        <v>3027</v>
      </c>
      <c r="B189" s="1">
        <v>45365</v>
      </c>
      <c r="C189" t="s">
        <v>65</v>
      </c>
      <c r="D189" t="s">
        <v>48</v>
      </c>
      <c r="E189" t="s">
        <v>23</v>
      </c>
      <c r="F189" t="s">
        <v>17</v>
      </c>
      <c r="G189">
        <v>6</v>
      </c>
      <c r="H189">
        <v>1.49</v>
      </c>
      <c r="I189">
        <v>0</v>
      </c>
      <c r="J189">
        <v>8.94</v>
      </c>
      <c r="K189">
        <v>0</v>
      </c>
    </row>
    <row r="190" spans="1:11" x14ac:dyDescent="0.25">
      <c r="A190">
        <v>3027</v>
      </c>
      <c r="B190" s="1">
        <v>45365</v>
      </c>
      <c r="C190" t="s">
        <v>65</v>
      </c>
      <c r="D190" t="s">
        <v>35</v>
      </c>
      <c r="E190" t="s">
        <v>13</v>
      </c>
      <c r="F190" t="s">
        <v>14</v>
      </c>
      <c r="G190">
        <v>1</v>
      </c>
      <c r="H190">
        <v>129.99</v>
      </c>
      <c r="I190">
        <v>0.2</v>
      </c>
      <c r="J190">
        <v>103.99200000000002</v>
      </c>
      <c r="K190">
        <v>25.998000000000005</v>
      </c>
    </row>
    <row r="191" spans="1:11" x14ac:dyDescent="0.25">
      <c r="A191">
        <v>3028</v>
      </c>
      <c r="B191" s="1">
        <v>45365</v>
      </c>
      <c r="C191" t="s">
        <v>65</v>
      </c>
      <c r="D191" t="s">
        <v>49</v>
      </c>
      <c r="E191" t="s">
        <v>10</v>
      </c>
      <c r="F191" t="s">
        <v>19</v>
      </c>
      <c r="G191">
        <v>1</v>
      </c>
      <c r="H191">
        <v>799.99</v>
      </c>
      <c r="I191">
        <v>0.1</v>
      </c>
      <c r="J191">
        <v>719.99099999999999</v>
      </c>
      <c r="K191">
        <v>79.999000000000009</v>
      </c>
    </row>
    <row r="192" spans="1:11" x14ac:dyDescent="0.25">
      <c r="A192">
        <v>3029</v>
      </c>
      <c r="B192" s="1">
        <v>45366</v>
      </c>
      <c r="C192" t="s">
        <v>65</v>
      </c>
      <c r="D192" t="s">
        <v>50</v>
      </c>
      <c r="E192" t="s">
        <v>13</v>
      </c>
      <c r="F192" t="s">
        <v>11</v>
      </c>
      <c r="G192">
        <v>1</v>
      </c>
      <c r="H192">
        <v>59.99</v>
      </c>
      <c r="I192">
        <v>0</v>
      </c>
      <c r="J192">
        <v>59.99</v>
      </c>
      <c r="K192">
        <v>0</v>
      </c>
    </row>
    <row r="193" spans="1:11" x14ac:dyDescent="0.25">
      <c r="A193">
        <v>3029</v>
      </c>
      <c r="B193" s="1">
        <v>45366</v>
      </c>
      <c r="C193" t="s">
        <v>65</v>
      </c>
      <c r="D193" t="s">
        <v>35</v>
      </c>
      <c r="E193" t="s">
        <v>13</v>
      </c>
      <c r="F193" t="s">
        <v>11</v>
      </c>
      <c r="G193">
        <v>1</v>
      </c>
      <c r="H193">
        <v>129.99</v>
      </c>
      <c r="I193">
        <v>0.2</v>
      </c>
      <c r="J193">
        <v>103.99200000000002</v>
      </c>
      <c r="K193">
        <v>25.998000000000005</v>
      </c>
    </row>
    <row r="194" spans="1:11" x14ac:dyDescent="0.25">
      <c r="A194">
        <v>3030</v>
      </c>
      <c r="B194" s="1">
        <v>45366</v>
      </c>
      <c r="C194" t="s">
        <v>65</v>
      </c>
      <c r="D194" t="s">
        <v>51</v>
      </c>
      <c r="E194" t="s">
        <v>16</v>
      </c>
      <c r="F194" t="s">
        <v>14</v>
      </c>
      <c r="G194">
        <v>2</v>
      </c>
      <c r="H194">
        <v>7.99</v>
      </c>
      <c r="I194">
        <v>0</v>
      </c>
      <c r="J194">
        <v>15.98</v>
      </c>
      <c r="K194">
        <v>0</v>
      </c>
    </row>
    <row r="195" spans="1:11" x14ac:dyDescent="0.25">
      <c r="A195">
        <v>3031</v>
      </c>
      <c r="B195" s="1">
        <v>45367</v>
      </c>
      <c r="C195" t="s">
        <v>65</v>
      </c>
      <c r="D195" t="s">
        <v>37</v>
      </c>
      <c r="E195" t="s">
        <v>21</v>
      </c>
      <c r="F195" t="s">
        <v>17</v>
      </c>
      <c r="G195">
        <v>1</v>
      </c>
      <c r="H195">
        <v>89.99</v>
      </c>
      <c r="I195">
        <v>0</v>
      </c>
      <c r="J195">
        <v>89.99</v>
      </c>
      <c r="K195">
        <v>0</v>
      </c>
    </row>
    <row r="196" spans="1:11" x14ac:dyDescent="0.25">
      <c r="A196">
        <v>3032</v>
      </c>
      <c r="B196" s="1">
        <v>45367</v>
      </c>
      <c r="C196" t="s">
        <v>65</v>
      </c>
      <c r="D196" t="s">
        <v>52</v>
      </c>
      <c r="E196" t="s">
        <v>23</v>
      </c>
      <c r="F196" t="s">
        <v>19</v>
      </c>
      <c r="G196">
        <v>12</v>
      </c>
      <c r="H196">
        <v>0.99</v>
      </c>
      <c r="I196">
        <v>0</v>
      </c>
      <c r="J196">
        <v>11.879999999999999</v>
      </c>
      <c r="K196">
        <v>0</v>
      </c>
    </row>
    <row r="197" spans="1:11" x14ac:dyDescent="0.25">
      <c r="A197">
        <v>3033</v>
      </c>
      <c r="B197" s="1">
        <v>45368</v>
      </c>
      <c r="C197" t="s">
        <v>65</v>
      </c>
      <c r="D197" t="s">
        <v>53</v>
      </c>
      <c r="E197" t="s">
        <v>10</v>
      </c>
      <c r="F197" t="s">
        <v>11</v>
      </c>
      <c r="G197">
        <v>1</v>
      </c>
      <c r="H197">
        <v>39.99</v>
      </c>
      <c r="I197">
        <v>0</v>
      </c>
      <c r="J197">
        <v>39.99</v>
      </c>
      <c r="K197">
        <v>0</v>
      </c>
    </row>
    <row r="198" spans="1:11" x14ac:dyDescent="0.25">
      <c r="A198">
        <v>3034</v>
      </c>
      <c r="B198" s="1">
        <v>45368</v>
      </c>
      <c r="C198" t="s">
        <v>65</v>
      </c>
      <c r="D198" t="s">
        <v>54</v>
      </c>
      <c r="E198" t="s">
        <v>13</v>
      </c>
      <c r="F198" t="s">
        <v>14</v>
      </c>
      <c r="G198">
        <v>1</v>
      </c>
      <c r="H198">
        <v>149.99</v>
      </c>
      <c r="I198">
        <v>0.1</v>
      </c>
      <c r="J198">
        <v>134.99100000000001</v>
      </c>
      <c r="K198">
        <v>14.999000000000002</v>
      </c>
    </row>
    <row r="199" spans="1:11" x14ac:dyDescent="0.25">
      <c r="A199">
        <v>3035</v>
      </c>
      <c r="B199" s="1">
        <v>45369</v>
      </c>
      <c r="C199" t="s">
        <v>65</v>
      </c>
      <c r="D199" t="s">
        <v>55</v>
      </c>
      <c r="E199" t="s">
        <v>16</v>
      </c>
      <c r="F199" t="s">
        <v>17</v>
      </c>
      <c r="G199">
        <v>2</v>
      </c>
      <c r="H199">
        <v>14.99</v>
      </c>
      <c r="I199">
        <v>0</v>
      </c>
      <c r="J199">
        <v>29.98</v>
      </c>
      <c r="K199">
        <v>0</v>
      </c>
    </row>
    <row r="200" spans="1:11" x14ac:dyDescent="0.25">
      <c r="A200">
        <v>3036</v>
      </c>
      <c r="B200" s="1">
        <v>45369</v>
      </c>
      <c r="C200" t="s">
        <v>65</v>
      </c>
      <c r="D200" t="s">
        <v>24</v>
      </c>
      <c r="E200" t="s">
        <v>21</v>
      </c>
      <c r="F200" t="s">
        <v>19</v>
      </c>
      <c r="G200">
        <v>1</v>
      </c>
      <c r="H200">
        <v>149.99</v>
      </c>
      <c r="I200">
        <v>0.15</v>
      </c>
      <c r="J200">
        <v>127.4915</v>
      </c>
      <c r="K200">
        <v>22.4985</v>
      </c>
    </row>
    <row r="201" spans="1:11" x14ac:dyDescent="0.25">
      <c r="A201">
        <v>3037</v>
      </c>
      <c r="B201" s="1">
        <v>45370</v>
      </c>
      <c r="C201" t="s">
        <v>65</v>
      </c>
      <c r="D201" t="s">
        <v>56</v>
      </c>
      <c r="E201" t="s">
        <v>23</v>
      </c>
      <c r="F201" t="s">
        <v>11</v>
      </c>
      <c r="G201">
        <v>8</v>
      </c>
      <c r="H201">
        <v>0.79</v>
      </c>
      <c r="I201">
        <v>0</v>
      </c>
      <c r="J201">
        <v>6.32</v>
      </c>
      <c r="K201">
        <v>0</v>
      </c>
    </row>
    <row r="202" spans="1:11" x14ac:dyDescent="0.25">
      <c r="A202">
        <v>3038</v>
      </c>
      <c r="B202" s="1">
        <v>45370</v>
      </c>
      <c r="C202" t="s">
        <v>65</v>
      </c>
      <c r="D202" t="s">
        <v>57</v>
      </c>
      <c r="E202" t="s">
        <v>10</v>
      </c>
      <c r="F202" t="s">
        <v>14</v>
      </c>
      <c r="G202">
        <v>1</v>
      </c>
      <c r="H202">
        <v>599.99</v>
      </c>
      <c r="I202">
        <v>0.1</v>
      </c>
      <c r="J202">
        <v>539.99099999999999</v>
      </c>
      <c r="K202">
        <v>59.999000000000002</v>
      </c>
    </row>
    <row r="203" spans="1:11" x14ac:dyDescent="0.25">
      <c r="A203">
        <v>3039</v>
      </c>
      <c r="B203" s="1">
        <v>45371</v>
      </c>
      <c r="C203" t="s">
        <v>65</v>
      </c>
      <c r="D203" t="s">
        <v>25</v>
      </c>
      <c r="E203" t="s">
        <v>13</v>
      </c>
      <c r="F203" t="s">
        <v>17</v>
      </c>
      <c r="G203">
        <v>1</v>
      </c>
      <c r="H203">
        <v>49.99</v>
      </c>
      <c r="I203">
        <v>0</v>
      </c>
      <c r="J203">
        <v>49.99</v>
      </c>
      <c r="K203">
        <v>0</v>
      </c>
    </row>
    <row r="204" spans="1:11" x14ac:dyDescent="0.25">
      <c r="A204">
        <v>3040</v>
      </c>
      <c r="B204" s="1">
        <v>45371</v>
      </c>
      <c r="C204" t="s">
        <v>65</v>
      </c>
      <c r="D204" t="s">
        <v>58</v>
      </c>
      <c r="E204" t="s">
        <v>16</v>
      </c>
      <c r="F204" t="s">
        <v>19</v>
      </c>
      <c r="G204">
        <v>4</v>
      </c>
      <c r="H204">
        <v>9.99</v>
      </c>
      <c r="I204">
        <v>0</v>
      </c>
      <c r="J204">
        <v>39.96</v>
      </c>
      <c r="K204">
        <v>0</v>
      </c>
    </row>
    <row r="205" spans="1:11" x14ac:dyDescent="0.25">
      <c r="A205">
        <v>3041</v>
      </c>
      <c r="B205" s="1">
        <v>45372</v>
      </c>
      <c r="C205" t="s">
        <v>65</v>
      </c>
      <c r="D205" t="s">
        <v>20</v>
      </c>
      <c r="E205" t="s">
        <v>21</v>
      </c>
      <c r="F205" t="s">
        <v>11</v>
      </c>
      <c r="G205">
        <v>1</v>
      </c>
      <c r="H205">
        <v>22.5</v>
      </c>
      <c r="I205">
        <v>0</v>
      </c>
      <c r="J205">
        <v>22.5</v>
      </c>
      <c r="K205">
        <v>0</v>
      </c>
    </row>
    <row r="206" spans="1:11" x14ac:dyDescent="0.25">
      <c r="A206">
        <v>3042</v>
      </c>
      <c r="B206" s="1">
        <v>45372</v>
      </c>
      <c r="C206" t="s">
        <v>65</v>
      </c>
      <c r="D206" t="s">
        <v>22</v>
      </c>
      <c r="E206" t="s">
        <v>23</v>
      </c>
      <c r="F206" t="s">
        <v>14</v>
      </c>
      <c r="G206">
        <v>6</v>
      </c>
      <c r="H206">
        <v>2.99</v>
      </c>
      <c r="I206">
        <v>0</v>
      </c>
      <c r="J206">
        <v>17.940000000000001</v>
      </c>
      <c r="K206">
        <v>0</v>
      </c>
    </row>
    <row r="207" spans="1:11" x14ac:dyDescent="0.25">
      <c r="A207">
        <v>3043</v>
      </c>
      <c r="B207" s="1">
        <v>45373</v>
      </c>
      <c r="C207" t="s">
        <v>65</v>
      </c>
      <c r="D207" t="s">
        <v>59</v>
      </c>
      <c r="E207" t="s">
        <v>10</v>
      </c>
      <c r="F207" t="s">
        <v>17</v>
      </c>
      <c r="G207">
        <v>1</v>
      </c>
      <c r="H207">
        <v>29.99</v>
      </c>
      <c r="I207">
        <v>0</v>
      </c>
      <c r="J207">
        <v>29.99</v>
      </c>
      <c r="K207">
        <v>0</v>
      </c>
    </row>
    <row r="208" spans="1:11" x14ac:dyDescent="0.25">
      <c r="A208">
        <v>3044</v>
      </c>
      <c r="B208" s="1">
        <v>45373</v>
      </c>
      <c r="C208" t="s">
        <v>65</v>
      </c>
      <c r="D208" t="s">
        <v>31</v>
      </c>
      <c r="E208" t="s">
        <v>13</v>
      </c>
      <c r="F208" t="s">
        <v>19</v>
      </c>
      <c r="G208">
        <v>1</v>
      </c>
      <c r="H208">
        <v>89.99</v>
      </c>
      <c r="I208">
        <v>0.05</v>
      </c>
      <c r="J208">
        <v>85.490499999999997</v>
      </c>
      <c r="K208">
        <v>4.4995000000000003</v>
      </c>
    </row>
    <row r="209" spans="1:11" x14ac:dyDescent="0.25">
      <c r="A209">
        <v>3045</v>
      </c>
      <c r="B209" s="1">
        <v>45374</v>
      </c>
      <c r="C209" t="s">
        <v>65</v>
      </c>
      <c r="D209" t="s">
        <v>32</v>
      </c>
      <c r="E209" t="s">
        <v>16</v>
      </c>
      <c r="F209" t="s">
        <v>11</v>
      </c>
      <c r="G209">
        <v>1</v>
      </c>
      <c r="H209">
        <v>499.99</v>
      </c>
      <c r="I209">
        <v>0.2</v>
      </c>
      <c r="J209">
        <v>399.99200000000002</v>
      </c>
      <c r="K209">
        <v>99.998000000000005</v>
      </c>
    </row>
    <row r="210" spans="1:11" x14ac:dyDescent="0.25">
      <c r="A210">
        <v>3046</v>
      </c>
      <c r="B210" s="1">
        <v>45374</v>
      </c>
      <c r="C210" t="s">
        <v>65</v>
      </c>
      <c r="D210" t="s">
        <v>42</v>
      </c>
      <c r="E210" t="s">
        <v>21</v>
      </c>
      <c r="F210" t="s">
        <v>14</v>
      </c>
      <c r="G210">
        <v>1</v>
      </c>
      <c r="H210">
        <v>199.99</v>
      </c>
      <c r="I210">
        <v>0.1</v>
      </c>
      <c r="J210">
        <v>179.99100000000001</v>
      </c>
      <c r="K210">
        <v>19.999000000000002</v>
      </c>
    </row>
    <row r="211" spans="1:11" x14ac:dyDescent="0.25">
      <c r="A211">
        <v>3047</v>
      </c>
      <c r="B211" s="1">
        <v>45375</v>
      </c>
      <c r="C211" t="s">
        <v>65</v>
      </c>
      <c r="D211" t="s">
        <v>33</v>
      </c>
      <c r="E211" t="s">
        <v>23</v>
      </c>
      <c r="F211" t="s">
        <v>17</v>
      </c>
      <c r="G211">
        <v>3</v>
      </c>
      <c r="H211">
        <v>4.99</v>
      </c>
      <c r="I211">
        <v>0</v>
      </c>
      <c r="J211">
        <v>14.97</v>
      </c>
      <c r="K211">
        <v>0</v>
      </c>
    </row>
    <row r="212" spans="1:11" x14ac:dyDescent="0.25">
      <c r="A212">
        <v>3048</v>
      </c>
      <c r="B212" s="1">
        <v>45375</v>
      </c>
      <c r="C212" t="s">
        <v>65</v>
      </c>
      <c r="D212" t="s">
        <v>34</v>
      </c>
      <c r="E212" t="s">
        <v>10</v>
      </c>
      <c r="F212" t="s">
        <v>19</v>
      </c>
      <c r="G212">
        <v>1</v>
      </c>
      <c r="H212">
        <v>29.99</v>
      </c>
      <c r="I212">
        <v>0</v>
      </c>
      <c r="J212">
        <v>29.99</v>
      </c>
      <c r="K212">
        <v>0</v>
      </c>
    </row>
    <row r="213" spans="1:11" x14ac:dyDescent="0.25">
      <c r="A213">
        <v>3049</v>
      </c>
      <c r="B213" s="1">
        <v>45376</v>
      </c>
      <c r="C213" t="s">
        <v>65</v>
      </c>
      <c r="D213" t="s">
        <v>35</v>
      </c>
      <c r="E213" t="s">
        <v>13</v>
      </c>
      <c r="F213" t="s">
        <v>11</v>
      </c>
      <c r="G213">
        <v>1</v>
      </c>
      <c r="H213">
        <v>129.99</v>
      </c>
      <c r="I213">
        <v>0.2</v>
      </c>
      <c r="J213">
        <v>103.99200000000002</v>
      </c>
      <c r="K213">
        <v>25.998000000000005</v>
      </c>
    </row>
    <row r="214" spans="1:11" x14ac:dyDescent="0.25">
      <c r="A214">
        <v>3050</v>
      </c>
      <c r="B214" s="1">
        <v>45376</v>
      </c>
      <c r="C214" t="s">
        <v>65</v>
      </c>
      <c r="D214" t="s">
        <v>27</v>
      </c>
      <c r="E214" t="s">
        <v>16</v>
      </c>
      <c r="F214" t="s">
        <v>14</v>
      </c>
      <c r="G214">
        <v>4</v>
      </c>
      <c r="H214">
        <v>9.99</v>
      </c>
      <c r="I214">
        <v>0</v>
      </c>
      <c r="J214">
        <v>39.96</v>
      </c>
      <c r="K21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395B5-C08D-47CC-AAA4-E2D1E9107805}">
  <dimension ref="B1:V37"/>
  <sheetViews>
    <sheetView showGridLines="0" showRowColHeaders="0" tabSelected="1" zoomScale="80" zoomScaleNormal="80" workbookViewId="0">
      <selection activeCell="K40" sqref="K40"/>
      <extLst>
        <ext xmlns:xlsdti="http://schemas.microsoft.com/office/spreadsheetml/2023/showDataTypeIcons" uri="{77bfe23e-c014-4d31-8a63-9c772dbf06b6}">
          <xlsdti:showDataTypeIcons visible="0"/>
        </ext>
      </extLst>
    </sheetView>
  </sheetViews>
  <sheetFormatPr defaultRowHeight="15" x14ac:dyDescent="0.25"/>
  <cols>
    <col min="1" max="6" width="9.140625" style="6"/>
    <col min="7" max="7" width="20.85546875" style="6" customWidth="1"/>
    <col min="8" max="8" width="2.5703125" style="6" customWidth="1"/>
    <col min="9" max="9" width="18.140625" style="6" customWidth="1"/>
    <col min="10" max="10" width="2.5703125" style="6" customWidth="1"/>
    <col min="11" max="11" width="19.140625" style="6" customWidth="1"/>
    <col min="12" max="12" width="3.28515625" style="6" customWidth="1"/>
    <col min="13" max="13" width="19.7109375" style="6" customWidth="1"/>
    <col min="14" max="14" width="3.7109375" style="6" customWidth="1"/>
    <col min="15" max="16384" width="9.140625" style="6"/>
  </cols>
  <sheetData>
    <row r="1" spans="2:17" ht="37.5" customHeight="1" x14ac:dyDescent="0.25">
      <c r="B1" s="9"/>
      <c r="C1" s="9"/>
      <c r="D1" s="9"/>
      <c r="E1" s="9"/>
      <c r="F1" s="9"/>
      <c r="G1" s="9"/>
      <c r="H1" s="9"/>
      <c r="I1" s="9"/>
      <c r="J1" s="9"/>
      <c r="K1" s="9"/>
      <c r="L1" s="9"/>
      <c r="M1" s="9"/>
      <c r="N1" s="9"/>
      <c r="O1" s="9"/>
      <c r="P1" s="9"/>
      <c r="Q1" s="9"/>
    </row>
    <row r="2" spans="2:17" ht="9.75" customHeight="1" x14ac:dyDescent="0.25"/>
    <row r="3" spans="2:17" ht="9.75" customHeight="1" x14ac:dyDescent="0.25"/>
    <row r="4" spans="2:17" ht="31.5" customHeight="1" x14ac:dyDescent="0.25">
      <c r="G4" s="11">
        <f>_xlfn.XLOOKUP("Grand Total", SalesByDate!A:A,SalesByDate!B:B,0)</f>
        <v>20021.164499999995</v>
      </c>
      <c r="I4" s="13">
        <f>_xlfn.XLOOKUP("Grand Total", Discount!A:A,Discount!B:B,0)</f>
        <v>1955.4255000000005</v>
      </c>
      <c r="K4" s="13">
        <f>AverageOrders!G3</f>
        <v>148</v>
      </c>
      <c r="M4" s="14">
        <f>AverageOrders!H3</f>
        <v>135.27813851351351</v>
      </c>
      <c r="O4" s="9"/>
      <c r="P4" s="9"/>
      <c r="Q4" s="9"/>
    </row>
    <row r="5" spans="2:17" ht="16.5" customHeight="1" x14ac:dyDescent="0.25">
      <c r="G5" s="12" t="s">
        <v>147</v>
      </c>
      <c r="I5" s="12" t="s">
        <v>150</v>
      </c>
      <c r="K5" s="12" t="s">
        <v>148</v>
      </c>
      <c r="M5" s="12" t="s">
        <v>149</v>
      </c>
      <c r="O5" s="9"/>
      <c r="P5" s="9"/>
      <c r="Q5" s="9"/>
    </row>
    <row r="6" spans="2:17" x14ac:dyDescent="0.25">
      <c r="O6" s="9"/>
      <c r="P6" s="9"/>
      <c r="Q6" s="9"/>
    </row>
    <row r="7" spans="2:17" ht="8.25" customHeight="1" x14ac:dyDescent="0.25">
      <c r="O7" s="9"/>
      <c r="P7" s="9"/>
      <c r="Q7" s="9"/>
    </row>
    <row r="8" spans="2:17" ht="27" customHeight="1" x14ac:dyDescent="0.35">
      <c r="H8" s="8"/>
      <c r="I8" s="8"/>
      <c r="J8" s="8"/>
      <c r="K8" s="10"/>
      <c r="O8" s="9"/>
      <c r="P8" s="9"/>
      <c r="Q8" s="9"/>
    </row>
    <row r="9" spans="2:17" x14ac:dyDescent="0.25">
      <c r="O9" s="9"/>
      <c r="P9" s="9"/>
      <c r="Q9" s="9"/>
    </row>
    <row r="10" spans="2:17" x14ac:dyDescent="0.25">
      <c r="O10" s="9"/>
      <c r="P10" s="9"/>
      <c r="Q10" s="9"/>
    </row>
    <row r="11" spans="2:17" x14ac:dyDescent="0.25">
      <c r="O11" s="9"/>
      <c r="P11" s="9"/>
      <c r="Q11" s="9"/>
    </row>
    <row r="12" spans="2:17" x14ac:dyDescent="0.25">
      <c r="O12" s="9"/>
      <c r="P12" s="9"/>
      <c r="Q12" s="9"/>
    </row>
    <row r="13" spans="2:17" x14ac:dyDescent="0.25">
      <c r="O13" s="9"/>
      <c r="P13" s="9"/>
      <c r="Q13" s="9"/>
    </row>
    <row r="14" spans="2:17" x14ac:dyDescent="0.25">
      <c r="O14" s="9"/>
      <c r="P14" s="9"/>
      <c r="Q14" s="9"/>
    </row>
    <row r="15" spans="2:17" x14ac:dyDescent="0.25">
      <c r="O15" s="9"/>
      <c r="P15" s="9"/>
      <c r="Q15" s="9"/>
    </row>
    <row r="16" spans="2:17" x14ac:dyDescent="0.25">
      <c r="O16" s="9"/>
      <c r="P16" s="9"/>
      <c r="Q16" s="9"/>
    </row>
    <row r="17" spans="15:22" x14ac:dyDescent="0.25">
      <c r="O17" s="9"/>
      <c r="P17" s="9"/>
      <c r="Q17" s="9"/>
      <c r="V17" s="6" t="s">
        <v>153</v>
      </c>
    </row>
    <row r="18" spans="15:22" x14ac:dyDescent="0.25">
      <c r="O18" s="9"/>
      <c r="P18" s="9"/>
      <c r="Q18" s="9"/>
    </row>
    <row r="19" spans="15:22" x14ac:dyDescent="0.25">
      <c r="O19" s="9"/>
      <c r="P19" s="9"/>
      <c r="Q19" s="9"/>
    </row>
    <row r="20" spans="15:22" x14ac:dyDescent="0.25">
      <c r="O20" s="9"/>
      <c r="P20" s="9"/>
      <c r="Q20" s="9"/>
    </row>
    <row r="21" spans="15:22" x14ac:dyDescent="0.25">
      <c r="O21" s="9"/>
      <c r="P21" s="9"/>
      <c r="Q21" s="9"/>
    </row>
    <row r="22" spans="15:22" x14ac:dyDescent="0.25">
      <c r="O22" s="9"/>
      <c r="P22" s="9"/>
      <c r="Q22" s="9"/>
    </row>
    <row r="23" spans="15:22" x14ac:dyDescent="0.25">
      <c r="O23" s="9"/>
      <c r="P23" s="9"/>
      <c r="Q23" s="9"/>
    </row>
    <row r="24" spans="15:22" x14ac:dyDescent="0.25">
      <c r="O24" s="9"/>
      <c r="P24" s="9"/>
      <c r="Q24" s="9"/>
    </row>
    <row r="25" spans="15:22" x14ac:dyDescent="0.25">
      <c r="O25" s="9"/>
      <c r="P25" s="9"/>
      <c r="Q25" s="9"/>
    </row>
    <row r="26" spans="15:22" x14ac:dyDescent="0.25">
      <c r="O26" s="9"/>
      <c r="P26" s="9"/>
      <c r="Q26" s="9"/>
    </row>
    <row r="27" spans="15:22" x14ac:dyDescent="0.25">
      <c r="O27" s="9"/>
      <c r="P27" s="9"/>
      <c r="Q27" s="9"/>
    </row>
    <row r="28" spans="15:22" x14ac:dyDescent="0.25">
      <c r="O28" s="9"/>
      <c r="P28" s="9"/>
      <c r="Q28" s="9"/>
    </row>
    <row r="29" spans="15:22" x14ac:dyDescent="0.25">
      <c r="O29" s="9"/>
      <c r="P29" s="9"/>
      <c r="Q29" s="9"/>
    </row>
    <row r="30" spans="15:22" x14ac:dyDescent="0.25">
      <c r="O30" s="9"/>
      <c r="P30" s="9"/>
      <c r="Q30" s="9"/>
    </row>
    <row r="31" spans="15:22" x14ac:dyDescent="0.25">
      <c r="O31" s="9"/>
      <c r="P31" s="9"/>
      <c r="Q31" s="9"/>
    </row>
    <row r="32" spans="15:22" x14ac:dyDescent="0.25">
      <c r="O32" s="9"/>
      <c r="P32" s="9"/>
      <c r="Q32" s="9"/>
    </row>
    <row r="33" spans="15:17" x14ac:dyDescent="0.25">
      <c r="O33" s="9"/>
      <c r="P33" s="9"/>
      <c r="Q33" s="9"/>
    </row>
    <row r="34" spans="15:17" x14ac:dyDescent="0.25">
      <c r="O34" s="9"/>
      <c r="P34" s="9"/>
      <c r="Q34" s="9"/>
    </row>
    <row r="35" spans="15:17" x14ac:dyDescent="0.25">
      <c r="O35" s="9"/>
      <c r="P35" s="9"/>
      <c r="Q35" s="9"/>
    </row>
    <row r="36" spans="15:17" x14ac:dyDescent="0.25">
      <c r="O36" s="9"/>
      <c r="P36" s="9"/>
      <c r="Q36" s="9"/>
    </row>
    <row r="37" spans="15:17" x14ac:dyDescent="0.25">
      <c r="O37" s="9"/>
      <c r="P37" s="9"/>
      <c r="Q37" s="9"/>
    </row>
  </sheetData>
  <pageMargins left="0.7" right="0.7" top="0.75" bottom="0.75" header="0.3" footer="0.3"/>
  <pageSetup paperSize="9" scale="50" orientation="portrait" horizontalDpi="0" verticalDpi="0" r:id="rId1"/>
  <colBreaks count="1" manualBreakCount="1">
    <brk id="18" max="37" man="1"/>
  </colBreaks>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A3DC3-A529-4F29-8CE7-10B9E98F2D95}">
  <dimension ref="A3:C9"/>
  <sheetViews>
    <sheetView workbookViewId="0">
      <selection activeCell="C8" sqref="C8"/>
    </sheetView>
  </sheetViews>
  <sheetFormatPr defaultRowHeight="15" x14ac:dyDescent="0.25"/>
  <cols>
    <col min="1" max="1" width="16.5703125" bestFit="1" customWidth="1"/>
    <col min="2" max="2" width="17.28515625" bestFit="1" customWidth="1"/>
    <col min="3" max="4" width="23.28515625" bestFit="1" customWidth="1"/>
  </cols>
  <sheetData>
    <row r="3" spans="1:3" x14ac:dyDescent="0.25">
      <c r="A3" s="2" t="s">
        <v>60</v>
      </c>
      <c r="B3" t="s">
        <v>63</v>
      </c>
      <c r="C3" t="s">
        <v>152</v>
      </c>
    </row>
    <row r="4" spans="1:3" x14ac:dyDescent="0.25">
      <c r="A4" s="3" t="s">
        <v>10</v>
      </c>
      <c r="B4" s="15">
        <v>8020.0414999999975</v>
      </c>
      <c r="C4" s="15">
        <v>835.47850000000017</v>
      </c>
    </row>
    <row r="5" spans="1:3" x14ac:dyDescent="0.25">
      <c r="A5" s="3" t="s">
        <v>21</v>
      </c>
      <c r="B5" s="15">
        <v>4083.17</v>
      </c>
      <c r="C5" s="15">
        <v>339.98</v>
      </c>
    </row>
    <row r="6" spans="1:3" x14ac:dyDescent="0.25">
      <c r="A6" s="3" t="s">
        <v>13</v>
      </c>
      <c r="B6" s="15">
        <v>3859.552999999999</v>
      </c>
      <c r="C6" s="15">
        <v>279.97699999999998</v>
      </c>
    </row>
    <row r="7" spans="1:3" x14ac:dyDescent="0.25">
      <c r="A7" s="3" t="s">
        <v>16</v>
      </c>
      <c r="B7" s="15">
        <v>3603.1299999999997</v>
      </c>
      <c r="C7" s="15">
        <v>499.99</v>
      </c>
    </row>
    <row r="8" spans="1:3" x14ac:dyDescent="0.25">
      <c r="A8" s="3" t="s">
        <v>23</v>
      </c>
      <c r="B8" s="15">
        <v>455.26999999999987</v>
      </c>
      <c r="C8" s="15">
        <v>0</v>
      </c>
    </row>
    <row r="9" spans="1:3" x14ac:dyDescent="0.25">
      <c r="A9" s="3" t="s">
        <v>61</v>
      </c>
      <c r="B9" s="15">
        <v>20021.164499999999</v>
      </c>
      <c r="C9" s="15">
        <v>1955.4255000000001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0F753-2527-4F8C-B1B1-1B0542211E1E}">
  <dimension ref="A3:B8"/>
  <sheetViews>
    <sheetView workbookViewId="0">
      <selection activeCell="A3" sqref="A3"/>
    </sheetView>
  </sheetViews>
  <sheetFormatPr defaultRowHeight="15" x14ac:dyDescent="0.25"/>
  <cols>
    <col min="1" max="1" width="13.140625" bestFit="1" customWidth="1"/>
    <col min="2" max="2" width="23.28515625" bestFit="1" customWidth="1"/>
  </cols>
  <sheetData>
    <row r="3" spans="1:2" x14ac:dyDescent="0.25">
      <c r="A3" s="2" t="s">
        <v>60</v>
      </c>
      <c r="B3" t="s">
        <v>152</v>
      </c>
    </row>
    <row r="4" spans="1:2" x14ac:dyDescent="0.25">
      <c r="A4" s="3" t="s">
        <v>17</v>
      </c>
      <c r="B4" s="15">
        <v>122.4965</v>
      </c>
    </row>
    <row r="5" spans="1:2" x14ac:dyDescent="0.25">
      <c r="A5" s="3" t="s">
        <v>11</v>
      </c>
      <c r="B5" s="15">
        <v>557.98200000000008</v>
      </c>
    </row>
    <row r="6" spans="1:2" x14ac:dyDescent="0.25">
      <c r="A6" s="3" t="s">
        <v>14</v>
      </c>
      <c r="B6" s="15">
        <v>672.97000000000037</v>
      </c>
    </row>
    <row r="7" spans="1:2" x14ac:dyDescent="0.25">
      <c r="A7" s="3" t="s">
        <v>19</v>
      </c>
      <c r="B7" s="15">
        <v>601.97700000000009</v>
      </c>
    </row>
    <row r="8" spans="1:2" x14ac:dyDescent="0.25">
      <c r="A8" s="3" t="s">
        <v>61</v>
      </c>
      <c r="B8" s="15">
        <v>1955.4255000000005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F30BB-5147-4A06-9808-BC72FAD770D5}">
  <dimension ref="A3:B14"/>
  <sheetViews>
    <sheetView workbookViewId="0">
      <selection activeCell="B9" sqref="B9"/>
    </sheetView>
  </sheetViews>
  <sheetFormatPr defaultRowHeight="15" x14ac:dyDescent="0.25"/>
  <cols>
    <col min="1" max="1" width="15.5703125" bestFit="1" customWidth="1"/>
    <col min="2" max="2" width="17.28515625" bestFit="1" customWidth="1"/>
  </cols>
  <sheetData>
    <row r="3" spans="1:2" x14ac:dyDescent="0.25">
      <c r="A3" s="2" t="s">
        <v>60</v>
      </c>
      <c r="B3" t="s">
        <v>63</v>
      </c>
    </row>
    <row r="4" spans="1:2" x14ac:dyDescent="0.25">
      <c r="A4" s="3" t="s">
        <v>49</v>
      </c>
      <c r="B4" s="15">
        <v>2879.9639999999999</v>
      </c>
    </row>
    <row r="5" spans="1:2" x14ac:dyDescent="0.25">
      <c r="A5" s="3" t="s">
        <v>57</v>
      </c>
      <c r="B5" s="15">
        <v>2159.9639999999999</v>
      </c>
    </row>
    <row r="6" spans="1:2" x14ac:dyDescent="0.25">
      <c r="A6" s="3" t="s">
        <v>32</v>
      </c>
      <c r="B6" s="15">
        <v>1999.96</v>
      </c>
    </row>
    <row r="7" spans="1:2" x14ac:dyDescent="0.25">
      <c r="A7" s="3" t="s">
        <v>42</v>
      </c>
      <c r="B7" s="15">
        <v>1439.9280000000001</v>
      </c>
    </row>
    <row r="8" spans="1:2" x14ac:dyDescent="0.25">
      <c r="A8" s="3" t="s">
        <v>35</v>
      </c>
      <c r="B8" s="15">
        <v>1273.9019999999998</v>
      </c>
    </row>
    <row r="9" spans="1:2" x14ac:dyDescent="0.25">
      <c r="A9" s="3" t="s">
        <v>24</v>
      </c>
      <c r="B9" s="15">
        <v>1019.9319999999999</v>
      </c>
    </row>
    <row r="10" spans="1:2" x14ac:dyDescent="0.25">
      <c r="A10" s="3" t="s">
        <v>39</v>
      </c>
      <c r="B10" s="15">
        <v>849.96600000000001</v>
      </c>
    </row>
    <row r="11" spans="1:2" x14ac:dyDescent="0.25">
      <c r="A11" s="3" t="s">
        <v>29</v>
      </c>
      <c r="B11" s="15">
        <v>719.96400000000006</v>
      </c>
    </row>
    <row r="12" spans="1:2" x14ac:dyDescent="0.25">
      <c r="A12" s="3" t="s">
        <v>37</v>
      </c>
      <c r="B12" s="15">
        <v>719.92</v>
      </c>
    </row>
    <row r="13" spans="1:2" x14ac:dyDescent="0.25">
      <c r="A13" s="3" t="s">
        <v>31</v>
      </c>
      <c r="B13" s="15">
        <v>683.92399999999998</v>
      </c>
    </row>
    <row r="14" spans="1:2" x14ac:dyDescent="0.25">
      <c r="A14" s="3" t="s">
        <v>61</v>
      </c>
      <c r="B14" s="15">
        <v>13747.424000000001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73EC-A4F3-4D06-A13C-8E2D2255D7DF}">
  <dimension ref="A3:B8"/>
  <sheetViews>
    <sheetView workbookViewId="0">
      <selection activeCell="B6" sqref="B6"/>
    </sheetView>
  </sheetViews>
  <sheetFormatPr defaultRowHeight="15" x14ac:dyDescent="0.25"/>
  <cols>
    <col min="1" max="1" width="13.140625" bestFit="1" customWidth="1"/>
    <col min="2" max="2" width="17.28515625" bestFit="1" customWidth="1"/>
  </cols>
  <sheetData>
    <row r="3" spans="1:2" x14ac:dyDescent="0.25">
      <c r="A3" s="2" t="s">
        <v>60</v>
      </c>
      <c r="B3" t="s">
        <v>63</v>
      </c>
    </row>
    <row r="4" spans="1:2" x14ac:dyDescent="0.25">
      <c r="A4" s="3" t="s">
        <v>17</v>
      </c>
      <c r="B4" s="7">
        <v>2645.1534999999981</v>
      </c>
    </row>
    <row r="5" spans="1:2" x14ac:dyDescent="0.25">
      <c r="A5" s="3" t="s">
        <v>11</v>
      </c>
      <c r="B5" s="7">
        <v>4360.1380000000008</v>
      </c>
    </row>
    <row r="6" spans="1:2" x14ac:dyDescent="0.25">
      <c r="A6" s="3" t="s">
        <v>14</v>
      </c>
      <c r="B6" s="7">
        <v>6678.8099999999977</v>
      </c>
    </row>
    <row r="7" spans="1:2" x14ac:dyDescent="0.25">
      <c r="A7" s="3" t="s">
        <v>19</v>
      </c>
      <c r="B7" s="7">
        <v>6337.0629999999983</v>
      </c>
    </row>
    <row r="8" spans="1:2" x14ac:dyDescent="0.25">
      <c r="A8" s="3" t="s">
        <v>61</v>
      </c>
      <c r="B8" s="7">
        <v>20021.164499999995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80AE-7F2F-46F2-8B07-7344001C23A4}">
  <dimension ref="A3:G9"/>
  <sheetViews>
    <sheetView workbookViewId="0">
      <selection activeCell="A7" sqref="A7"/>
    </sheetView>
  </sheetViews>
  <sheetFormatPr defaultRowHeight="15" x14ac:dyDescent="0.25"/>
  <cols>
    <col min="1" max="1" width="33.140625" bestFit="1" customWidth="1"/>
    <col min="2" max="2" width="16.28515625" bestFit="1" customWidth="1"/>
    <col min="3" max="3" width="9.28515625" bestFit="1" customWidth="1"/>
    <col min="4" max="4" width="16.5703125" bestFit="1" customWidth="1"/>
    <col min="5" max="5" width="6.5703125" bestFit="1" customWidth="1"/>
    <col min="6" max="6" width="10.140625" bestFit="1" customWidth="1"/>
    <col min="7" max="7" width="11.28515625" bestFit="1" customWidth="1"/>
  </cols>
  <sheetData>
    <row r="3" spans="1:7" x14ac:dyDescent="0.25">
      <c r="A3" s="2" t="s">
        <v>144</v>
      </c>
      <c r="B3" s="2" t="s">
        <v>62</v>
      </c>
    </row>
    <row r="4" spans="1:7" x14ac:dyDescent="0.25">
      <c r="A4" s="2" t="s">
        <v>60</v>
      </c>
      <c r="B4" t="s">
        <v>10</v>
      </c>
      <c r="C4" t="s">
        <v>21</v>
      </c>
      <c r="D4" t="s">
        <v>13</v>
      </c>
      <c r="E4" t="s">
        <v>16</v>
      </c>
      <c r="F4" t="s">
        <v>23</v>
      </c>
      <c r="G4" t="s">
        <v>61</v>
      </c>
    </row>
    <row r="5" spans="1:7" x14ac:dyDescent="0.25">
      <c r="A5" s="3" t="s">
        <v>17</v>
      </c>
      <c r="B5" s="4">
        <v>319.92</v>
      </c>
      <c r="C5" s="4">
        <v>487.45150000000001</v>
      </c>
      <c r="D5" s="4">
        <v>569.87</v>
      </c>
      <c r="E5" s="4">
        <v>1134.7120000000002</v>
      </c>
      <c r="F5" s="4">
        <v>133.19999999999999</v>
      </c>
      <c r="G5" s="4">
        <v>2645.1535000000003</v>
      </c>
    </row>
    <row r="6" spans="1:7" x14ac:dyDescent="0.25">
      <c r="A6" s="3" t="s">
        <v>11</v>
      </c>
      <c r="B6" s="4">
        <v>525.83000000000004</v>
      </c>
      <c r="C6" s="4">
        <v>1013.394</v>
      </c>
      <c r="D6" s="4">
        <v>811.91599999999994</v>
      </c>
      <c r="E6" s="4">
        <v>1879.9279999999999</v>
      </c>
      <c r="F6" s="4">
        <v>129.07000000000002</v>
      </c>
      <c r="G6" s="4">
        <v>4360.1379999999999</v>
      </c>
    </row>
    <row r="7" spans="1:7" x14ac:dyDescent="0.25">
      <c r="A7" s="3" t="s">
        <v>14</v>
      </c>
      <c r="B7" s="4">
        <v>3360.9030000000002</v>
      </c>
      <c r="C7" s="4">
        <v>1239.924</v>
      </c>
      <c r="D7" s="4">
        <v>1655.8630000000001</v>
      </c>
      <c r="E7" s="4">
        <v>283.69</v>
      </c>
      <c r="F7" s="4">
        <v>138.43</v>
      </c>
      <c r="G7" s="4">
        <v>6678.81</v>
      </c>
    </row>
    <row r="8" spans="1:7" x14ac:dyDescent="0.25">
      <c r="A8" s="3" t="s">
        <v>19</v>
      </c>
      <c r="B8" s="4">
        <v>3813.3884999999991</v>
      </c>
      <c r="C8" s="4">
        <v>1342.4005</v>
      </c>
      <c r="D8" s="4">
        <v>821.904</v>
      </c>
      <c r="E8" s="4">
        <v>304.79999999999995</v>
      </c>
      <c r="F8" s="4">
        <v>54.569999999999993</v>
      </c>
      <c r="G8" s="4">
        <v>6337.0629999999992</v>
      </c>
    </row>
    <row r="9" spans="1:7" x14ac:dyDescent="0.25">
      <c r="A9" s="3" t="s">
        <v>61</v>
      </c>
      <c r="B9" s="4">
        <v>8020.0414999999994</v>
      </c>
      <c r="C9" s="4">
        <v>4083.17</v>
      </c>
      <c r="D9" s="4">
        <v>3859.5530000000003</v>
      </c>
      <c r="E9" s="4">
        <v>3603.13</v>
      </c>
      <c r="F9" s="4">
        <v>455.27</v>
      </c>
      <c r="G9" s="4">
        <v>20021.164499999999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7A733-2076-4F86-8441-82FADFB24B95}">
  <dimension ref="A2:H152"/>
  <sheetViews>
    <sheetView workbookViewId="0">
      <selection activeCell="B9" sqref="B9"/>
    </sheetView>
  </sheetViews>
  <sheetFormatPr defaultRowHeight="15" x14ac:dyDescent="0.25"/>
  <cols>
    <col min="1" max="1" width="13.140625" bestFit="1" customWidth="1"/>
    <col min="2" max="2" width="17.28515625" bestFit="1" customWidth="1"/>
    <col min="8" max="8" width="22" customWidth="1"/>
  </cols>
  <sheetData>
    <row r="2" spans="1:8" x14ac:dyDescent="0.25">
      <c r="G2" t="s">
        <v>146</v>
      </c>
      <c r="H2" t="s">
        <v>145</v>
      </c>
    </row>
    <row r="3" spans="1:8" x14ac:dyDescent="0.25">
      <c r="A3" s="2" t="s">
        <v>60</v>
      </c>
      <c r="B3" t="s">
        <v>63</v>
      </c>
      <c r="G3">
        <f>COUNT(A:A)</f>
        <v>148</v>
      </c>
      <c r="H3">
        <f>_xlfn.XLOOKUP("Grand Total", A:A,B:B)/G3</f>
        <v>135.27813851351351</v>
      </c>
    </row>
    <row r="4" spans="1:8" x14ac:dyDescent="0.25">
      <c r="A4" s="3">
        <v>1001</v>
      </c>
      <c r="B4" s="15">
        <v>31.98</v>
      </c>
    </row>
    <row r="5" spans="1:8" x14ac:dyDescent="0.25">
      <c r="A5" s="3">
        <v>1002</v>
      </c>
      <c r="B5" s="15">
        <v>86.980999999999995</v>
      </c>
    </row>
    <row r="6" spans="1:8" x14ac:dyDescent="0.25">
      <c r="A6" s="3">
        <v>1003</v>
      </c>
      <c r="B6" s="15">
        <v>79.97</v>
      </c>
    </row>
    <row r="7" spans="1:8" x14ac:dyDescent="0.25">
      <c r="A7" s="3">
        <v>1004</v>
      </c>
      <c r="B7" s="15">
        <v>123.4905</v>
      </c>
    </row>
    <row r="8" spans="1:8" x14ac:dyDescent="0.25">
      <c r="A8" s="3">
        <v>1005</v>
      </c>
      <c r="B8" s="15">
        <v>67.5</v>
      </c>
    </row>
    <row r="9" spans="1:8" x14ac:dyDescent="0.25">
      <c r="A9" s="3">
        <v>1006</v>
      </c>
      <c r="B9" s="15">
        <v>14.950000000000001</v>
      </c>
    </row>
    <row r="10" spans="1:8" x14ac:dyDescent="0.25">
      <c r="A10" s="3">
        <v>1007</v>
      </c>
      <c r="B10" s="15">
        <v>162.98150000000001</v>
      </c>
    </row>
    <row r="11" spans="1:8" x14ac:dyDescent="0.25">
      <c r="A11" s="3">
        <v>1008</v>
      </c>
      <c r="B11" s="15">
        <v>99.98</v>
      </c>
    </row>
    <row r="12" spans="1:8" x14ac:dyDescent="0.25">
      <c r="A12" s="3">
        <v>1009</v>
      </c>
      <c r="B12" s="15">
        <v>39.99</v>
      </c>
    </row>
    <row r="13" spans="1:8" x14ac:dyDescent="0.25">
      <c r="A13" s="3">
        <v>1011</v>
      </c>
      <c r="B13" s="15">
        <v>9.9</v>
      </c>
    </row>
    <row r="14" spans="1:8" x14ac:dyDescent="0.25">
      <c r="A14" s="3">
        <v>1012</v>
      </c>
      <c r="B14" s="15">
        <v>179.99100000000001</v>
      </c>
    </row>
    <row r="15" spans="1:8" x14ac:dyDescent="0.25">
      <c r="A15" s="3">
        <v>1013</v>
      </c>
      <c r="B15" s="15">
        <v>25.98</v>
      </c>
    </row>
    <row r="16" spans="1:8" x14ac:dyDescent="0.25">
      <c r="A16" s="3">
        <v>1014</v>
      </c>
      <c r="B16" s="15">
        <v>85.490499999999997</v>
      </c>
    </row>
    <row r="17" spans="1:2" x14ac:dyDescent="0.25">
      <c r="A17" s="3">
        <v>1015</v>
      </c>
      <c r="B17" s="15">
        <v>399.99200000000002</v>
      </c>
    </row>
    <row r="18" spans="1:2" x14ac:dyDescent="0.25">
      <c r="A18" s="3">
        <v>1016</v>
      </c>
      <c r="B18" s="15">
        <v>14.97</v>
      </c>
    </row>
    <row r="19" spans="1:2" x14ac:dyDescent="0.25">
      <c r="A19" s="3">
        <v>1017</v>
      </c>
      <c r="B19" s="15">
        <v>29.99</v>
      </c>
    </row>
    <row r="20" spans="1:2" x14ac:dyDescent="0.25">
      <c r="A20" s="3">
        <v>1018</v>
      </c>
      <c r="B20" s="15">
        <v>129.99</v>
      </c>
    </row>
    <row r="21" spans="1:2" x14ac:dyDescent="0.25">
      <c r="A21" s="3">
        <v>1019</v>
      </c>
      <c r="B21" s="15">
        <v>39.979999999999997</v>
      </c>
    </row>
    <row r="22" spans="1:2" x14ac:dyDescent="0.25">
      <c r="A22" s="3">
        <v>1020</v>
      </c>
      <c r="B22" s="15">
        <v>89.99</v>
      </c>
    </row>
    <row r="23" spans="1:2" x14ac:dyDescent="0.25">
      <c r="A23" s="3">
        <v>1021</v>
      </c>
      <c r="B23" s="15">
        <v>11.98</v>
      </c>
    </row>
    <row r="24" spans="1:2" x14ac:dyDescent="0.25">
      <c r="A24" s="3">
        <v>1022</v>
      </c>
      <c r="B24" s="15">
        <v>212.4915</v>
      </c>
    </row>
    <row r="25" spans="1:2" x14ac:dyDescent="0.25">
      <c r="A25" s="3">
        <v>1023</v>
      </c>
      <c r="B25" s="15">
        <v>29.99</v>
      </c>
    </row>
    <row r="26" spans="1:2" x14ac:dyDescent="0.25">
      <c r="A26" s="3">
        <v>1024</v>
      </c>
      <c r="B26" s="15">
        <v>49.98</v>
      </c>
    </row>
    <row r="27" spans="1:2" x14ac:dyDescent="0.25">
      <c r="A27" s="3">
        <v>1025</v>
      </c>
      <c r="B27" s="15">
        <v>179.99100000000001</v>
      </c>
    </row>
    <row r="28" spans="1:2" x14ac:dyDescent="0.25">
      <c r="A28" s="3">
        <v>1026</v>
      </c>
      <c r="B28" s="15">
        <v>11.94</v>
      </c>
    </row>
    <row r="29" spans="1:2" x14ac:dyDescent="0.25">
      <c r="A29" s="3">
        <v>1027</v>
      </c>
      <c r="B29" s="15">
        <v>49.99</v>
      </c>
    </row>
    <row r="30" spans="1:2" x14ac:dyDescent="0.25">
      <c r="A30" s="3">
        <v>1028</v>
      </c>
      <c r="B30" s="15">
        <v>94.990499999999997</v>
      </c>
    </row>
    <row r="31" spans="1:2" x14ac:dyDescent="0.25">
      <c r="A31" s="3">
        <v>1029</v>
      </c>
      <c r="B31" s="15">
        <v>69.989999999999995</v>
      </c>
    </row>
    <row r="32" spans="1:2" x14ac:dyDescent="0.25">
      <c r="A32" s="3">
        <v>1030</v>
      </c>
      <c r="B32" s="15">
        <v>129.99</v>
      </c>
    </row>
    <row r="33" spans="1:2" x14ac:dyDescent="0.25">
      <c r="A33" s="3">
        <v>1031</v>
      </c>
      <c r="B33" s="15">
        <v>5.96</v>
      </c>
    </row>
    <row r="34" spans="1:2" x14ac:dyDescent="0.25">
      <c r="A34" s="3">
        <v>1032</v>
      </c>
      <c r="B34" s="15">
        <v>719.99099999999999</v>
      </c>
    </row>
    <row r="35" spans="1:2" x14ac:dyDescent="0.25">
      <c r="A35" s="3">
        <v>1033</v>
      </c>
      <c r="B35" s="15">
        <v>59.99</v>
      </c>
    </row>
    <row r="36" spans="1:2" x14ac:dyDescent="0.25">
      <c r="A36" s="3">
        <v>1034</v>
      </c>
      <c r="B36" s="15">
        <v>23.97</v>
      </c>
    </row>
    <row r="37" spans="1:2" x14ac:dyDescent="0.25">
      <c r="A37" s="3">
        <v>1035</v>
      </c>
      <c r="B37" s="15">
        <v>89.99</v>
      </c>
    </row>
    <row r="38" spans="1:2" x14ac:dyDescent="0.25">
      <c r="A38" s="3">
        <v>1036</v>
      </c>
      <c r="B38" s="15">
        <v>7.92</v>
      </c>
    </row>
    <row r="39" spans="1:2" x14ac:dyDescent="0.25">
      <c r="A39" s="3">
        <v>1037</v>
      </c>
      <c r="B39" s="15">
        <v>39.99</v>
      </c>
    </row>
    <row r="40" spans="1:2" x14ac:dyDescent="0.25">
      <c r="A40" s="3">
        <v>1038</v>
      </c>
      <c r="B40" s="15">
        <v>134.99100000000001</v>
      </c>
    </row>
    <row r="41" spans="1:2" x14ac:dyDescent="0.25">
      <c r="A41" s="3">
        <v>1039</v>
      </c>
      <c r="B41" s="15">
        <v>29.98</v>
      </c>
    </row>
    <row r="42" spans="1:2" x14ac:dyDescent="0.25">
      <c r="A42" s="3">
        <v>1040</v>
      </c>
      <c r="B42" s="15">
        <v>127.4915</v>
      </c>
    </row>
    <row r="43" spans="1:2" x14ac:dyDescent="0.25">
      <c r="A43" s="3">
        <v>1041</v>
      </c>
      <c r="B43" s="15">
        <v>3.95</v>
      </c>
    </row>
    <row r="44" spans="1:2" x14ac:dyDescent="0.25">
      <c r="A44" s="3">
        <v>1042</v>
      </c>
      <c r="B44" s="15">
        <v>539.99099999999999</v>
      </c>
    </row>
    <row r="45" spans="1:2" x14ac:dyDescent="0.25">
      <c r="A45" s="3">
        <v>1043</v>
      </c>
      <c r="B45" s="15">
        <v>49.99</v>
      </c>
    </row>
    <row r="46" spans="1:2" x14ac:dyDescent="0.25">
      <c r="A46" s="3">
        <v>1044</v>
      </c>
      <c r="B46" s="15">
        <v>29.97</v>
      </c>
    </row>
    <row r="47" spans="1:2" x14ac:dyDescent="0.25">
      <c r="A47" s="3">
        <v>1045</v>
      </c>
      <c r="B47" s="15">
        <v>45</v>
      </c>
    </row>
    <row r="48" spans="1:2" x14ac:dyDescent="0.25">
      <c r="A48" s="3">
        <v>1046</v>
      </c>
      <c r="B48" s="15">
        <v>11.96</v>
      </c>
    </row>
    <row r="49" spans="1:2" x14ac:dyDescent="0.25">
      <c r="A49" s="3">
        <v>1047</v>
      </c>
      <c r="B49" s="15">
        <v>29.99</v>
      </c>
    </row>
    <row r="50" spans="1:2" x14ac:dyDescent="0.25">
      <c r="A50" s="3">
        <v>1048</v>
      </c>
      <c r="B50" s="15">
        <v>85.490499999999997</v>
      </c>
    </row>
    <row r="51" spans="1:2" x14ac:dyDescent="0.25">
      <c r="A51" s="3">
        <v>1049</v>
      </c>
      <c r="B51" s="15">
        <v>399.99200000000002</v>
      </c>
    </row>
    <row r="52" spans="1:2" x14ac:dyDescent="0.25">
      <c r="A52" s="3">
        <v>1050</v>
      </c>
      <c r="B52" s="15">
        <v>179.99100000000001</v>
      </c>
    </row>
    <row r="53" spans="1:2" x14ac:dyDescent="0.25">
      <c r="A53" s="3">
        <v>2001</v>
      </c>
      <c r="B53" s="15">
        <v>31.98</v>
      </c>
    </row>
    <row r="54" spans="1:2" x14ac:dyDescent="0.25">
      <c r="A54" s="3">
        <v>2002</v>
      </c>
      <c r="B54" s="15">
        <v>170.98099999999999</v>
      </c>
    </row>
    <row r="55" spans="1:2" x14ac:dyDescent="0.25">
      <c r="A55" s="3">
        <v>2003</v>
      </c>
      <c r="B55" s="15">
        <v>279.92</v>
      </c>
    </row>
    <row r="56" spans="1:2" x14ac:dyDescent="0.25">
      <c r="A56" s="3">
        <v>2004</v>
      </c>
      <c r="B56" s="15">
        <v>45</v>
      </c>
    </row>
    <row r="57" spans="1:2" x14ac:dyDescent="0.25">
      <c r="A57" s="3">
        <v>2005</v>
      </c>
      <c r="B57" s="15">
        <v>35.880000000000003</v>
      </c>
    </row>
    <row r="58" spans="1:2" x14ac:dyDescent="0.25">
      <c r="A58" s="3">
        <v>2006</v>
      </c>
      <c r="B58" s="15">
        <v>233.98200000000003</v>
      </c>
    </row>
    <row r="59" spans="1:2" x14ac:dyDescent="0.25">
      <c r="A59" s="3">
        <v>2007</v>
      </c>
      <c r="B59" s="15">
        <v>114.97</v>
      </c>
    </row>
    <row r="60" spans="1:2" x14ac:dyDescent="0.25">
      <c r="A60" s="3">
        <v>2008</v>
      </c>
      <c r="B60" s="15">
        <v>254.983</v>
      </c>
    </row>
    <row r="61" spans="1:2" x14ac:dyDescent="0.25">
      <c r="A61" s="3">
        <v>2009</v>
      </c>
      <c r="B61" s="15">
        <v>159.96</v>
      </c>
    </row>
    <row r="62" spans="1:2" x14ac:dyDescent="0.25">
      <c r="A62" s="3">
        <v>2010</v>
      </c>
      <c r="B62" s="15">
        <v>9.99</v>
      </c>
    </row>
    <row r="63" spans="1:2" x14ac:dyDescent="0.25">
      <c r="A63" s="3">
        <v>2011</v>
      </c>
      <c r="B63" s="15">
        <v>23.759999999999998</v>
      </c>
    </row>
    <row r="64" spans="1:2" x14ac:dyDescent="0.25">
      <c r="A64" s="3">
        <v>2012</v>
      </c>
      <c r="B64" s="15">
        <v>359.98200000000003</v>
      </c>
    </row>
    <row r="65" spans="1:2" x14ac:dyDescent="0.25">
      <c r="A65" s="3">
        <v>2013</v>
      </c>
      <c r="B65" s="15">
        <v>25.98</v>
      </c>
    </row>
    <row r="66" spans="1:2" x14ac:dyDescent="0.25">
      <c r="A66" s="3">
        <v>2014</v>
      </c>
      <c r="B66" s="15">
        <v>259.98</v>
      </c>
    </row>
    <row r="67" spans="1:2" x14ac:dyDescent="0.25">
      <c r="A67" s="3">
        <v>2015</v>
      </c>
      <c r="B67" s="15">
        <v>79.959999999999994</v>
      </c>
    </row>
    <row r="68" spans="1:2" x14ac:dyDescent="0.25">
      <c r="A68" s="3">
        <v>2016</v>
      </c>
      <c r="B68" s="15">
        <v>179.98</v>
      </c>
    </row>
    <row r="69" spans="1:2" x14ac:dyDescent="0.25">
      <c r="A69" s="3">
        <v>2017</v>
      </c>
      <c r="B69" s="15">
        <v>35.94</v>
      </c>
    </row>
    <row r="70" spans="1:2" x14ac:dyDescent="0.25">
      <c r="A70" s="3">
        <v>2018</v>
      </c>
      <c r="B70" s="15">
        <v>424.983</v>
      </c>
    </row>
    <row r="71" spans="1:2" x14ac:dyDescent="0.25">
      <c r="A71" s="3">
        <v>2019</v>
      </c>
      <c r="B71" s="15">
        <v>59.98</v>
      </c>
    </row>
    <row r="72" spans="1:2" x14ac:dyDescent="0.25">
      <c r="A72" s="3">
        <v>2020</v>
      </c>
      <c r="B72" s="15">
        <v>99.96</v>
      </c>
    </row>
    <row r="73" spans="1:2" x14ac:dyDescent="0.25">
      <c r="A73" s="3">
        <v>2021</v>
      </c>
      <c r="B73" s="15">
        <v>359.98200000000003</v>
      </c>
    </row>
    <row r="74" spans="1:2" x14ac:dyDescent="0.25">
      <c r="A74" s="3">
        <v>2022</v>
      </c>
      <c r="B74" s="15">
        <v>31.84</v>
      </c>
    </row>
    <row r="75" spans="1:2" x14ac:dyDescent="0.25">
      <c r="A75" s="3">
        <v>2023</v>
      </c>
      <c r="B75" s="15">
        <v>99.98</v>
      </c>
    </row>
    <row r="76" spans="1:2" x14ac:dyDescent="0.25">
      <c r="A76" s="3">
        <v>2024</v>
      </c>
      <c r="B76" s="15">
        <v>189.98099999999999</v>
      </c>
    </row>
    <row r="77" spans="1:2" x14ac:dyDescent="0.25">
      <c r="A77" s="3">
        <v>2025</v>
      </c>
      <c r="B77" s="15">
        <v>139.97999999999999</v>
      </c>
    </row>
    <row r="78" spans="1:2" x14ac:dyDescent="0.25">
      <c r="A78" s="3">
        <v>2026</v>
      </c>
      <c r="B78" s="15">
        <v>259.98</v>
      </c>
    </row>
    <row r="79" spans="1:2" x14ac:dyDescent="0.25">
      <c r="A79" s="3">
        <v>2027</v>
      </c>
      <c r="B79" s="15">
        <v>44.88</v>
      </c>
    </row>
    <row r="80" spans="1:2" x14ac:dyDescent="0.25">
      <c r="A80" s="3">
        <v>2028</v>
      </c>
      <c r="B80" s="15">
        <v>1469.962</v>
      </c>
    </row>
    <row r="81" spans="1:2" x14ac:dyDescent="0.25">
      <c r="A81" s="3">
        <v>2029</v>
      </c>
      <c r="B81" s="15">
        <v>119.98</v>
      </c>
    </row>
    <row r="82" spans="1:2" x14ac:dyDescent="0.25">
      <c r="A82" s="3">
        <v>2030</v>
      </c>
      <c r="B82" s="15">
        <v>63.92</v>
      </c>
    </row>
    <row r="83" spans="1:2" x14ac:dyDescent="0.25">
      <c r="A83" s="3">
        <v>2031</v>
      </c>
      <c r="B83" s="15">
        <v>179.98</v>
      </c>
    </row>
    <row r="84" spans="1:2" x14ac:dyDescent="0.25">
      <c r="A84" s="3">
        <v>2032</v>
      </c>
      <c r="B84" s="15">
        <v>19.8</v>
      </c>
    </row>
    <row r="85" spans="1:2" x14ac:dyDescent="0.25">
      <c r="A85" s="3">
        <v>2033</v>
      </c>
      <c r="B85" s="15">
        <v>79.98</v>
      </c>
    </row>
    <row r="86" spans="1:2" x14ac:dyDescent="0.25">
      <c r="A86" s="3">
        <v>2034</v>
      </c>
      <c r="B86" s="15">
        <v>269.98200000000003</v>
      </c>
    </row>
    <row r="87" spans="1:2" x14ac:dyDescent="0.25">
      <c r="A87" s="3">
        <v>2035</v>
      </c>
      <c r="B87" s="15">
        <v>29.98</v>
      </c>
    </row>
    <row r="88" spans="1:2" x14ac:dyDescent="0.25">
      <c r="A88" s="3">
        <v>2036</v>
      </c>
      <c r="B88" s="15">
        <v>254.983</v>
      </c>
    </row>
    <row r="89" spans="1:2" x14ac:dyDescent="0.25">
      <c r="A89" s="3">
        <v>2037</v>
      </c>
      <c r="B89" s="15">
        <v>11.06</v>
      </c>
    </row>
    <row r="90" spans="1:2" x14ac:dyDescent="0.25">
      <c r="A90" s="3">
        <v>2038</v>
      </c>
      <c r="B90" s="15">
        <v>1079.982</v>
      </c>
    </row>
    <row r="91" spans="1:2" x14ac:dyDescent="0.25">
      <c r="A91" s="3">
        <v>2039</v>
      </c>
      <c r="B91" s="15">
        <v>199.96</v>
      </c>
    </row>
    <row r="92" spans="1:2" x14ac:dyDescent="0.25">
      <c r="A92" s="3">
        <v>2040</v>
      </c>
      <c r="B92" s="15">
        <v>59.94</v>
      </c>
    </row>
    <row r="93" spans="1:2" x14ac:dyDescent="0.25">
      <c r="A93" s="3">
        <v>2041</v>
      </c>
      <c r="B93" s="15">
        <v>45</v>
      </c>
    </row>
    <row r="94" spans="1:2" x14ac:dyDescent="0.25">
      <c r="A94" s="3">
        <v>2042</v>
      </c>
      <c r="B94" s="15">
        <v>29.900000000000002</v>
      </c>
    </row>
    <row r="95" spans="1:2" x14ac:dyDescent="0.25">
      <c r="A95" s="3">
        <v>2043</v>
      </c>
      <c r="B95" s="15">
        <v>59.98</v>
      </c>
    </row>
    <row r="96" spans="1:2" x14ac:dyDescent="0.25">
      <c r="A96" s="3">
        <v>2044</v>
      </c>
      <c r="B96" s="15">
        <v>170.98099999999999</v>
      </c>
    </row>
    <row r="97" spans="1:2" x14ac:dyDescent="0.25">
      <c r="A97" s="3">
        <v>2045</v>
      </c>
      <c r="B97" s="15">
        <v>799.98400000000004</v>
      </c>
    </row>
    <row r="98" spans="1:2" x14ac:dyDescent="0.25">
      <c r="A98" s="3">
        <v>2046</v>
      </c>
      <c r="B98" s="15">
        <v>359.98200000000003</v>
      </c>
    </row>
    <row r="99" spans="1:2" x14ac:dyDescent="0.25">
      <c r="A99" s="3">
        <v>2047</v>
      </c>
      <c r="B99" s="15">
        <v>39.92</v>
      </c>
    </row>
    <row r="100" spans="1:2" x14ac:dyDescent="0.25">
      <c r="A100" s="3">
        <v>2048</v>
      </c>
      <c r="B100" s="15">
        <v>59.98</v>
      </c>
    </row>
    <row r="101" spans="1:2" x14ac:dyDescent="0.25">
      <c r="A101" s="3">
        <v>2049</v>
      </c>
      <c r="B101" s="15">
        <v>259.98</v>
      </c>
    </row>
    <row r="102" spans="1:2" x14ac:dyDescent="0.25">
      <c r="A102" s="3">
        <v>2050</v>
      </c>
      <c r="B102" s="15">
        <v>49.95</v>
      </c>
    </row>
    <row r="103" spans="1:2" x14ac:dyDescent="0.25">
      <c r="A103" s="3">
        <v>3001</v>
      </c>
      <c r="B103" s="15">
        <v>31.98</v>
      </c>
    </row>
    <row r="104" spans="1:2" x14ac:dyDescent="0.25">
      <c r="A104" s="3">
        <v>3002</v>
      </c>
      <c r="B104" s="15">
        <v>85.490499999999997</v>
      </c>
    </row>
    <row r="105" spans="1:2" x14ac:dyDescent="0.25">
      <c r="A105" s="3">
        <v>3003</v>
      </c>
      <c r="B105" s="15">
        <v>79.97</v>
      </c>
    </row>
    <row r="106" spans="1:2" x14ac:dyDescent="0.25">
      <c r="A106" s="3">
        <v>3004</v>
      </c>
      <c r="B106" s="15">
        <v>45</v>
      </c>
    </row>
    <row r="107" spans="1:2" x14ac:dyDescent="0.25">
      <c r="A107" s="3">
        <v>3005</v>
      </c>
      <c r="B107" s="15">
        <v>11.96</v>
      </c>
    </row>
    <row r="108" spans="1:2" x14ac:dyDescent="0.25">
      <c r="A108" s="3">
        <v>3006</v>
      </c>
      <c r="B108" s="15">
        <v>116.99100000000001</v>
      </c>
    </row>
    <row r="109" spans="1:2" x14ac:dyDescent="0.25">
      <c r="A109" s="3">
        <v>3007</v>
      </c>
      <c r="B109" s="15">
        <v>49.99</v>
      </c>
    </row>
    <row r="110" spans="1:2" x14ac:dyDescent="0.25">
      <c r="A110" s="3">
        <v>3008</v>
      </c>
      <c r="B110" s="15">
        <v>127.4915</v>
      </c>
    </row>
    <row r="111" spans="1:2" x14ac:dyDescent="0.25">
      <c r="A111" s="3">
        <v>3009</v>
      </c>
      <c r="B111" s="15">
        <v>39.99</v>
      </c>
    </row>
    <row r="112" spans="1:2" x14ac:dyDescent="0.25">
      <c r="A112" s="3">
        <v>3011</v>
      </c>
      <c r="B112" s="15">
        <v>14.85</v>
      </c>
    </row>
    <row r="113" spans="1:2" x14ac:dyDescent="0.25">
      <c r="A113" s="3">
        <v>3012</v>
      </c>
      <c r="B113" s="15">
        <v>283.98300000000006</v>
      </c>
    </row>
    <row r="114" spans="1:2" x14ac:dyDescent="0.25">
      <c r="A114" s="3">
        <v>3013</v>
      </c>
      <c r="B114" s="15">
        <v>25.98</v>
      </c>
    </row>
    <row r="115" spans="1:2" x14ac:dyDescent="0.25">
      <c r="A115" s="3">
        <v>3014</v>
      </c>
      <c r="B115" s="15">
        <v>103.99200000000002</v>
      </c>
    </row>
    <row r="116" spans="1:2" x14ac:dyDescent="0.25">
      <c r="A116" s="3">
        <v>3015</v>
      </c>
      <c r="B116" s="15">
        <v>74.959999999999994</v>
      </c>
    </row>
    <row r="117" spans="1:2" x14ac:dyDescent="0.25">
      <c r="A117" s="3">
        <v>3016</v>
      </c>
      <c r="B117" s="15">
        <v>89.99</v>
      </c>
    </row>
    <row r="118" spans="1:2" x14ac:dyDescent="0.25">
      <c r="A118" s="3">
        <v>3017</v>
      </c>
      <c r="B118" s="15">
        <v>11.98</v>
      </c>
    </row>
    <row r="119" spans="1:2" x14ac:dyDescent="0.25">
      <c r="A119" s="3">
        <v>3018</v>
      </c>
      <c r="B119" s="15">
        <v>212.4915</v>
      </c>
    </row>
    <row r="120" spans="1:2" x14ac:dyDescent="0.25">
      <c r="A120" s="3">
        <v>3019</v>
      </c>
      <c r="B120" s="15">
        <v>29.99</v>
      </c>
    </row>
    <row r="121" spans="1:2" x14ac:dyDescent="0.25">
      <c r="A121" s="3">
        <v>3020</v>
      </c>
      <c r="B121" s="15">
        <v>24.99</v>
      </c>
    </row>
    <row r="122" spans="1:2" x14ac:dyDescent="0.25">
      <c r="A122" s="3">
        <v>3021</v>
      </c>
      <c r="B122" s="15">
        <v>179.99100000000001</v>
      </c>
    </row>
    <row r="123" spans="1:2" x14ac:dyDescent="0.25">
      <c r="A123" s="3">
        <v>3022</v>
      </c>
      <c r="B123" s="15">
        <v>19.899999999999999</v>
      </c>
    </row>
    <row r="124" spans="1:2" x14ac:dyDescent="0.25">
      <c r="A124" s="3">
        <v>3023</v>
      </c>
      <c r="B124" s="15">
        <v>49.99</v>
      </c>
    </row>
    <row r="125" spans="1:2" x14ac:dyDescent="0.25">
      <c r="A125" s="3">
        <v>3024</v>
      </c>
      <c r="B125" s="15">
        <v>198.98250000000002</v>
      </c>
    </row>
    <row r="126" spans="1:2" x14ac:dyDescent="0.25">
      <c r="A126" s="3">
        <v>3025</v>
      </c>
      <c r="B126" s="15">
        <v>69.989999999999995</v>
      </c>
    </row>
    <row r="127" spans="1:2" x14ac:dyDescent="0.25">
      <c r="A127" s="3">
        <v>3026</v>
      </c>
      <c r="B127" s="15">
        <v>129.99</v>
      </c>
    </row>
    <row r="128" spans="1:2" x14ac:dyDescent="0.25">
      <c r="A128" s="3">
        <v>3027</v>
      </c>
      <c r="B128" s="15">
        <v>112.93200000000002</v>
      </c>
    </row>
    <row r="129" spans="1:2" x14ac:dyDescent="0.25">
      <c r="A129" s="3">
        <v>3028</v>
      </c>
      <c r="B129" s="15">
        <v>719.99099999999999</v>
      </c>
    </row>
    <row r="130" spans="1:2" x14ac:dyDescent="0.25">
      <c r="A130" s="3">
        <v>3029</v>
      </c>
      <c r="B130" s="15">
        <v>163.98200000000003</v>
      </c>
    </row>
    <row r="131" spans="1:2" x14ac:dyDescent="0.25">
      <c r="A131" s="3">
        <v>3030</v>
      </c>
      <c r="B131" s="15">
        <v>15.98</v>
      </c>
    </row>
    <row r="132" spans="1:2" x14ac:dyDescent="0.25">
      <c r="A132" s="3">
        <v>3031</v>
      </c>
      <c r="B132" s="15">
        <v>89.99</v>
      </c>
    </row>
    <row r="133" spans="1:2" x14ac:dyDescent="0.25">
      <c r="A133" s="3">
        <v>3032</v>
      </c>
      <c r="B133" s="15">
        <v>11.879999999999999</v>
      </c>
    </row>
    <row r="134" spans="1:2" x14ac:dyDescent="0.25">
      <c r="A134" s="3">
        <v>3033</v>
      </c>
      <c r="B134" s="15">
        <v>39.99</v>
      </c>
    </row>
    <row r="135" spans="1:2" x14ac:dyDescent="0.25">
      <c r="A135" s="3">
        <v>3034</v>
      </c>
      <c r="B135" s="15">
        <v>134.99100000000001</v>
      </c>
    </row>
    <row r="136" spans="1:2" x14ac:dyDescent="0.25">
      <c r="A136" s="3">
        <v>3035</v>
      </c>
      <c r="B136" s="15">
        <v>29.98</v>
      </c>
    </row>
    <row r="137" spans="1:2" x14ac:dyDescent="0.25">
      <c r="A137" s="3">
        <v>3036</v>
      </c>
      <c r="B137" s="15">
        <v>127.4915</v>
      </c>
    </row>
    <row r="138" spans="1:2" x14ac:dyDescent="0.25">
      <c r="A138" s="3">
        <v>3037</v>
      </c>
      <c r="B138" s="15">
        <v>6.32</v>
      </c>
    </row>
    <row r="139" spans="1:2" x14ac:dyDescent="0.25">
      <c r="A139" s="3">
        <v>3038</v>
      </c>
      <c r="B139" s="15">
        <v>539.99099999999999</v>
      </c>
    </row>
    <row r="140" spans="1:2" x14ac:dyDescent="0.25">
      <c r="A140" s="3">
        <v>3039</v>
      </c>
      <c r="B140" s="15">
        <v>49.99</v>
      </c>
    </row>
    <row r="141" spans="1:2" x14ac:dyDescent="0.25">
      <c r="A141" s="3">
        <v>3040</v>
      </c>
      <c r="B141" s="15">
        <v>39.96</v>
      </c>
    </row>
    <row r="142" spans="1:2" x14ac:dyDescent="0.25">
      <c r="A142" s="3">
        <v>3041</v>
      </c>
      <c r="B142" s="15">
        <v>22.5</v>
      </c>
    </row>
    <row r="143" spans="1:2" x14ac:dyDescent="0.25">
      <c r="A143" s="3">
        <v>3042</v>
      </c>
      <c r="B143" s="15">
        <v>17.940000000000001</v>
      </c>
    </row>
    <row r="144" spans="1:2" x14ac:dyDescent="0.25">
      <c r="A144" s="3">
        <v>3043</v>
      </c>
      <c r="B144" s="15">
        <v>29.99</v>
      </c>
    </row>
    <row r="145" spans="1:2" x14ac:dyDescent="0.25">
      <c r="A145" s="3">
        <v>3044</v>
      </c>
      <c r="B145" s="15">
        <v>85.490499999999997</v>
      </c>
    </row>
    <row r="146" spans="1:2" x14ac:dyDescent="0.25">
      <c r="A146" s="3">
        <v>3045</v>
      </c>
      <c r="B146" s="15">
        <v>399.99200000000002</v>
      </c>
    </row>
    <row r="147" spans="1:2" x14ac:dyDescent="0.25">
      <c r="A147" s="3">
        <v>3046</v>
      </c>
      <c r="B147" s="15">
        <v>179.99100000000001</v>
      </c>
    </row>
    <row r="148" spans="1:2" x14ac:dyDescent="0.25">
      <c r="A148" s="3">
        <v>3047</v>
      </c>
      <c r="B148" s="15">
        <v>14.97</v>
      </c>
    </row>
    <row r="149" spans="1:2" x14ac:dyDescent="0.25">
      <c r="A149" s="3">
        <v>3048</v>
      </c>
      <c r="B149" s="15">
        <v>29.99</v>
      </c>
    </row>
    <row r="150" spans="1:2" x14ac:dyDescent="0.25">
      <c r="A150" s="3">
        <v>3049</v>
      </c>
      <c r="B150" s="15">
        <v>103.99200000000002</v>
      </c>
    </row>
    <row r="151" spans="1:2" x14ac:dyDescent="0.25">
      <c r="A151" s="3">
        <v>3050</v>
      </c>
      <c r="B151" s="15">
        <v>39.96</v>
      </c>
    </row>
    <row r="152" spans="1:2" x14ac:dyDescent="0.25">
      <c r="A152" s="3" t="s">
        <v>61</v>
      </c>
      <c r="B152" s="15">
        <v>20021.164499999999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ACEAC-0EAB-4A67-AA52-2A8ECBFB240A}">
  <dimension ref="A3:B82"/>
  <sheetViews>
    <sheetView workbookViewId="0">
      <selection activeCell="B8" sqref="B8"/>
    </sheetView>
  </sheetViews>
  <sheetFormatPr defaultRowHeight="15" x14ac:dyDescent="0.25"/>
  <cols>
    <col min="1" max="1" width="13.140625" bestFit="1" customWidth="1"/>
    <col min="2" max="2" width="17.28515625" bestFit="1" customWidth="1"/>
    <col min="3" max="3" width="15.42578125" bestFit="1" customWidth="1"/>
  </cols>
  <sheetData>
    <row r="3" spans="1:2" x14ac:dyDescent="0.25">
      <c r="A3" s="2" t="s">
        <v>60</v>
      </c>
      <c r="B3" t="s">
        <v>63</v>
      </c>
    </row>
    <row r="4" spans="1:2" x14ac:dyDescent="0.25">
      <c r="A4" s="3" t="s">
        <v>66</v>
      </c>
      <c r="B4" s="4">
        <v>31.98</v>
      </c>
    </row>
    <row r="5" spans="1:2" x14ac:dyDescent="0.25">
      <c r="A5" s="3" t="s">
        <v>67</v>
      </c>
      <c r="B5" s="4">
        <v>86.980999999999995</v>
      </c>
    </row>
    <row r="6" spans="1:2" x14ac:dyDescent="0.25">
      <c r="A6" s="3" t="s">
        <v>68</v>
      </c>
      <c r="B6" s="4">
        <v>79.97</v>
      </c>
    </row>
    <row r="7" spans="1:2" x14ac:dyDescent="0.25">
      <c r="A7" s="3" t="s">
        <v>69</v>
      </c>
      <c r="B7" s="4">
        <v>190.9905</v>
      </c>
    </row>
    <row r="8" spans="1:2" x14ac:dyDescent="0.25">
      <c r="A8" s="3" t="s">
        <v>70</v>
      </c>
      <c r="B8" s="4">
        <v>177.9315</v>
      </c>
    </row>
    <row r="9" spans="1:2" x14ac:dyDescent="0.25">
      <c r="A9" s="3" t="s">
        <v>71</v>
      </c>
      <c r="B9" s="4">
        <v>99.98</v>
      </c>
    </row>
    <row r="10" spans="1:2" ht="28.5" x14ac:dyDescent="0.45">
      <c r="A10" s="3" t="s">
        <v>72</v>
      </c>
      <c r="B10" s="4">
        <v>39.99</v>
      </c>
    </row>
    <row r="11" spans="1:2" x14ac:dyDescent="0.25">
      <c r="A11" s="3" t="s">
        <v>73</v>
      </c>
      <c r="B11" s="4">
        <v>9.9</v>
      </c>
    </row>
    <row r="12" spans="1:2" x14ac:dyDescent="0.25">
      <c r="A12" s="3" t="s">
        <v>74</v>
      </c>
      <c r="B12" s="4">
        <v>205.971</v>
      </c>
    </row>
    <row r="13" spans="1:2" x14ac:dyDescent="0.25">
      <c r="A13" s="3" t="s">
        <v>75</v>
      </c>
      <c r="B13" s="4">
        <v>85.490499999999997</v>
      </c>
    </row>
    <row r="14" spans="1:2" x14ac:dyDescent="0.25">
      <c r="A14" s="3" t="s">
        <v>76</v>
      </c>
      <c r="B14" s="4">
        <v>399.99200000000002</v>
      </c>
    </row>
    <row r="15" spans="1:2" x14ac:dyDescent="0.25">
      <c r="A15" s="3" t="s">
        <v>77</v>
      </c>
      <c r="B15" s="4">
        <v>14.97</v>
      </c>
    </row>
    <row r="16" spans="1:2" ht="28.5" x14ac:dyDescent="0.45">
      <c r="A16" s="3" t="s">
        <v>78</v>
      </c>
      <c r="B16" s="4">
        <v>29.99</v>
      </c>
    </row>
    <row r="17" spans="1:2" x14ac:dyDescent="0.25">
      <c r="A17" s="3" t="s">
        <v>79</v>
      </c>
      <c r="B17" s="4">
        <v>129.99</v>
      </c>
    </row>
    <row r="18" spans="1:2" ht="28.5" x14ac:dyDescent="0.45">
      <c r="A18" s="3" t="s">
        <v>80</v>
      </c>
      <c r="B18" s="4">
        <v>39.979999999999997</v>
      </c>
    </row>
    <row r="19" spans="1:2" x14ac:dyDescent="0.25">
      <c r="A19" s="3" t="s">
        <v>81</v>
      </c>
      <c r="B19" s="4">
        <v>89.99</v>
      </c>
    </row>
    <row r="20" spans="1:2" x14ac:dyDescent="0.25">
      <c r="A20" s="3" t="s">
        <v>82</v>
      </c>
      <c r="B20" s="4">
        <v>11.98</v>
      </c>
    </row>
    <row r="21" spans="1:2" x14ac:dyDescent="0.25">
      <c r="A21" s="3" t="s">
        <v>83</v>
      </c>
      <c r="B21" s="4">
        <v>212.4915</v>
      </c>
    </row>
    <row r="22" spans="1:2" ht="28.5" x14ac:dyDescent="0.45">
      <c r="A22" s="3" t="s">
        <v>84</v>
      </c>
      <c r="B22" s="4">
        <v>29.99</v>
      </c>
    </row>
    <row r="23" spans="1:2" x14ac:dyDescent="0.25">
      <c r="A23" s="3" t="s">
        <v>85</v>
      </c>
      <c r="B23" s="4">
        <v>49.98</v>
      </c>
    </row>
    <row r="24" spans="1:2" x14ac:dyDescent="0.25">
      <c r="A24" s="3" t="s">
        <v>86</v>
      </c>
      <c r="B24" s="4">
        <v>179.99100000000001</v>
      </c>
    </row>
    <row r="25" spans="1:2" x14ac:dyDescent="0.25">
      <c r="A25" s="3" t="s">
        <v>87</v>
      </c>
      <c r="B25" s="4">
        <v>11.94</v>
      </c>
    </row>
    <row r="26" spans="1:2" x14ac:dyDescent="0.25">
      <c r="A26" s="3" t="s">
        <v>88</v>
      </c>
      <c r="B26" s="4">
        <v>49.99</v>
      </c>
    </row>
    <row r="27" spans="1:2" x14ac:dyDescent="0.25">
      <c r="A27" s="3" t="s">
        <v>89</v>
      </c>
      <c r="B27" s="4">
        <v>94.990499999999997</v>
      </c>
    </row>
    <row r="28" spans="1:2" x14ac:dyDescent="0.25">
      <c r="A28" s="3" t="s">
        <v>90</v>
      </c>
      <c r="B28" s="4">
        <v>69.989999999999995</v>
      </c>
    </row>
    <row r="29" spans="1:2" x14ac:dyDescent="0.25">
      <c r="A29" s="3" t="s">
        <v>91</v>
      </c>
      <c r="B29" s="4">
        <v>129.99</v>
      </c>
    </row>
    <row r="30" spans="1:2" x14ac:dyDescent="0.25">
      <c r="A30" s="3" t="s">
        <v>92</v>
      </c>
      <c r="B30" s="4">
        <v>5.96</v>
      </c>
    </row>
    <row r="31" spans="1:2" ht="28.5" x14ac:dyDescent="0.45">
      <c r="A31" s="3" t="s">
        <v>93</v>
      </c>
      <c r="B31" s="4">
        <v>719.99099999999999</v>
      </c>
    </row>
    <row r="32" spans="1:2" x14ac:dyDescent="0.25">
      <c r="A32" s="3" t="s">
        <v>94</v>
      </c>
      <c r="B32" s="4">
        <v>262.95100000000002</v>
      </c>
    </row>
    <row r="33" spans="1:2" x14ac:dyDescent="0.25">
      <c r="A33" s="3" t="s">
        <v>95</v>
      </c>
      <c r="B33" s="4">
        <v>348.89000000000004</v>
      </c>
    </row>
    <row r="34" spans="1:2" x14ac:dyDescent="0.25">
      <c r="A34" s="3" t="s">
        <v>96</v>
      </c>
      <c r="B34" s="4">
        <v>359.85199999999998</v>
      </c>
    </row>
    <row r="35" spans="1:2" x14ac:dyDescent="0.25">
      <c r="A35" s="3" t="s">
        <v>97</v>
      </c>
      <c r="B35" s="4">
        <v>377.87300000000005</v>
      </c>
    </row>
    <row r="36" spans="1:2" ht="28.5" x14ac:dyDescent="0.45">
      <c r="A36" s="3" t="s">
        <v>98</v>
      </c>
      <c r="B36" s="4">
        <v>209.94</v>
      </c>
    </row>
    <row r="37" spans="1:2" x14ac:dyDescent="0.25">
      <c r="A37" s="3" t="s">
        <v>99</v>
      </c>
      <c r="B37" s="4">
        <v>518.73300000000006</v>
      </c>
    </row>
    <row r="38" spans="1:2" x14ac:dyDescent="0.25">
      <c r="A38" s="3" t="s">
        <v>100</v>
      </c>
      <c r="B38" s="4">
        <v>315.94000000000005</v>
      </c>
    </row>
    <row r="39" spans="1:2" x14ac:dyDescent="0.25">
      <c r="A39" s="3" t="s">
        <v>101</v>
      </c>
      <c r="B39" s="4">
        <v>387.43149999999997</v>
      </c>
    </row>
    <row r="40" spans="1:2" x14ac:dyDescent="0.25">
      <c r="A40" s="3" t="s">
        <v>102</v>
      </c>
      <c r="B40" s="4">
        <v>464.87300000000005</v>
      </c>
    </row>
    <row r="41" spans="1:2" x14ac:dyDescent="0.25">
      <c r="A41" s="3" t="s">
        <v>103</v>
      </c>
      <c r="B41" s="4">
        <v>699.93100000000004</v>
      </c>
    </row>
    <row r="42" spans="1:2" x14ac:dyDescent="0.25">
      <c r="A42" s="3" t="s">
        <v>104</v>
      </c>
      <c r="B42" s="4">
        <v>441.81200000000007</v>
      </c>
    </row>
    <row r="43" spans="1:2" x14ac:dyDescent="0.25">
      <c r="A43" s="3" t="s">
        <v>105</v>
      </c>
      <c r="B43" s="4">
        <v>319.93100000000004</v>
      </c>
    </row>
    <row r="44" spans="1:2" x14ac:dyDescent="0.25">
      <c r="A44" s="3" t="s">
        <v>106</v>
      </c>
      <c r="B44" s="4">
        <v>444.96000000000004</v>
      </c>
    </row>
    <row r="45" spans="1:2" x14ac:dyDescent="0.25">
      <c r="A45" s="3" t="s">
        <v>107</v>
      </c>
      <c r="B45" s="4">
        <v>1526.8020000000001</v>
      </c>
    </row>
    <row r="46" spans="1:2" x14ac:dyDescent="0.25">
      <c r="A46" s="3" t="s">
        <v>108</v>
      </c>
      <c r="B46" s="4">
        <v>213.89000000000001</v>
      </c>
    </row>
    <row r="47" spans="1:2" x14ac:dyDescent="0.25">
      <c r="A47" s="3" t="s">
        <v>109</v>
      </c>
      <c r="B47" s="4">
        <v>285.27049999999997</v>
      </c>
    </row>
    <row r="48" spans="1:2" x14ac:dyDescent="0.25">
      <c r="A48" s="3" t="s">
        <v>110</v>
      </c>
      <c r="B48" s="4">
        <v>749.95400000000006</v>
      </c>
    </row>
    <row r="49" spans="1:2" x14ac:dyDescent="0.25">
      <c r="A49" s="3" t="s">
        <v>111</v>
      </c>
      <c r="B49" s="4">
        <v>464.95400000000006</v>
      </c>
    </row>
    <row r="50" spans="1:2" x14ac:dyDescent="0.25">
      <c r="A50" s="3" t="s">
        <v>112</v>
      </c>
      <c r="B50" s="4">
        <v>1091.0419999999999</v>
      </c>
    </row>
    <row r="51" spans="1:2" x14ac:dyDescent="0.25">
      <c r="A51" s="3" t="s">
        <v>113</v>
      </c>
      <c r="B51" s="4">
        <v>259.89999999999998</v>
      </c>
    </row>
    <row r="52" spans="1:2" x14ac:dyDescent="0.25">
      <c r="A52" s="3" t="s">
        <v>114</v>
      </c>
      <c r="B52" s="4">
        <v>74.900000000000006</v>
      </c>
    </row>
    <row r="53" spans="1:2" x14ac:dyDescent="0.25">
      <c r="A53" s="3" t="s">
        <v>115</v>
      </c>
      <c r="B53" s="4">
        <v>230.96099999999998</v>
      </c>
    </row>
    <row r="54" spans="1:2" x14ac:dyDescent="0.25">
      <c r="A54" s="3" t="s">
        <v>116</v>
      </c>
      <c r="B54" s="4">
        <v>1159.9660000000001</v>
      </c>
    </row>
    <row r="55" spans="1:2" x14ac:dyDescent="0.25">
      <c r="A55" s="3" t="s">
        <v>117</v>
      </c>
      <c r="B55" s="4">
        <v>99.899999999999991</v>
      </c>
    </row>
    <row r="56" spans="1:2" x14ac:dyDescent="0.25">
      <c r="A56" s="3" t="s">
        <v>118</v>
      </c>
      <c r="B56" s="4">
        <v>309.93</v>
      </c>
    </row>
    <row r="57" spans="1:2" x14ac:dyDescent="0.25">
      <c r="A57" s="3" t="s">
        <v>119</v>
      </c>
      <c r="B57" s="4">
        <v>117.4705</v>
      </c>
    </row>
    <row r="58" spans="1:2" x14ac:dyDescent="0.25">
      <c r="A58" s="3" t="s">
        <v>120</v>
      </c>
      <c r="B58" s="4">
        <v>124.97</v>
      </c>
    </row>
    <row r="59" spans="1:2" x14ac:dyDescent="0.25">
      <c r="A59" s="3" t="s">
        <v>121</v>
      </c>
      <c r="B59" s="4">
        <v>128.95100000000002</v>
      </c>
    </row>
    <row r="60" spans="1:2" x14ac:dyDescent="0.25">
      <c r="A60" s="3" t="s">
        <v>122</v>
      </c>
      <c r="B60" s="4">
        <v>177.48150000000001</v>
      </c>
    </row>
    <row r="61" spans="1:2" x14ac:dyDescent="0.25">
      <c r="A61" s="3" t="s">
        <v>123</v>
      </c>
      <c r="B61" s="4">
        <v>39.99</v>
      </c>
    </row>
    <row r="62" spans="1:2" x14ac:dyDescent="0.25">
      <c r="A62" s="3" t="s">
        <v>124</v>
      </c>
      <c r="B62" s="4">
        <v>298.83300000000003</v>
      </c>
    </row>
    <row r="63" spans="1:2" x14ac:dyDescent="0.25">
      <c r="A63" s="3" t="s">
        <v>125</v>
      </c>
      <c r="B63" s="4">
        <v>129.97200000000001</v>
      </c>
    </row>
    <row r="64" spans="1:2" x14ac:dyDescent="0.25">
      <c r="A64" s="3" t="s">
        <v>126</v>
      </c>
      <c r="B64" s="4">
        <v>164.95</v>
      </c>
    </row>
    <row r="65" spans="1:2" x14ac:dyDescent="0.25">
      <c r="A65" s="3" t="s">
        <v>127</v>
      </c>
      <c r="B65" s="4">
        <v>224.47149999999999</v>
      </c>
    </row>
    <row r="66" spans="1:2" x14ac:dyDescent="0.25">
      <c r="A66" s="3" t="s">
        <v>128</v>
      </c>
      <c r="B66" s="4">
        <v>54.98</v>
      </c>
    </row>
    <row r="67" spans="1:2" x14ac:dyDescent="0.25">
      <c r="A67" s="3" t="s">
        <v>129</v>
      </c>
      <c r="B67" s="4">
        <v>199.89100000000002</v>
      </c>
    </row>
    <row r="68" spans="1:2" x14ac:dyDescent="0.25">
      <c r="A68" s="3" t="s">
        <v>130</v>
      </c>
      <c r="B68" s="4">
        <v>248.97250000000003</v>
      </c>
    </row>
    <row r="69" spans="1:2" ht="28.5" x14ac:dyDescent="0.45">
      <c r="A69" s="3" t="s">
        <v>131</v>
      </c>
      <c r="B69" s="4">
        <v>199.98000000000002</v>
      </c>
    </row>
    <row r="70" spans="1:2" x14ac:dyDescent="0.25">
      <c r="A70" s="3" t="s">
        <v>132</v>
      </c>
      <c r="B70" s="4">
        <v>832.923</v>
      </c>
    </row>
    <row r="71" spans="1:2" x14ac:dyDescent="0.25">
      <c r="A71" s="3" t="s">
        <v>133</v>
      </c>
      <c r="B71" s="4">
        <v>179.96200000000002</v>
      </c>
    </row>
    <row r="72" spans="1:2" x14ac:dyDescent="0.25">
      <c r="A72" s="3" t="s">
        <v>134</v>
      </c>
      <c r="B72" s="4">
        <v>101.86999999999999</v>
      </c>
    </row>
    <row r="73" spans="1:2" x14ac:dyDescent="0.25">
      <c r="A73" s="3" t="s">
        <v>135</v>
      </c>
      <c r="B73" s="4">
        <v>174.98100000000002</v>
      </c>
    </row>
    <row r="74" spans="1:2" x14ac:dyDescent="0.25">
      <c r="A74" s="3" t="s">
        <v>136</v>
      </c>
      <c r="B74" s="4">
        <v>157.47149999999999</v>
      </c>
    </row>
    <row r="75" spans="1:2" x14ac:dyDescent="0.25">
      <c r="A75" s="3" t="s">
        <v>137</v>
      </c>
      <c r="B75" s="4">
        <v>546.31100000000004</v>
      </c>
    </row>
    <row r="76" spans="1:2" ht="28.5" x14ac:dyDescent="0.45">
      <c r="A76" s="3" t="s">
        <v>138</v>
      </c>
      <c r="B76" s="4">
        <v>89.95</v>
      </c>
    </row>
    <row r="77" spans="1:2" x14ac:dyDescent="0.25">
      <c r="A77" s="3" t="s">
        <v>139</v>
      </c>
      <c r="B77" s="4">
        <v>40.44</v>
      </c>
    </row>
    <row r="78" spans="1:2" x14ac:dyDescent="0.25">
      <c r="A78" s="3" t="s">
        <v>140</v>
      </c>
      <c r="B78" s="4">
        <v>115.48049999999999</v>
      </c>
    </row>
    <row r="79" spans="1:2" x14ac:dyDescent="0.25">
      <c r="A79" s="3" t="s">
        <v>141</v>
      </c>
      <c r="B79" s="4">
        <v>579.98300000000006</v>
      </c>
    </row>
    <row r="80" spans="1:2" x14ac:dyDescent="0.25">
      <c r="A80" s="3" t="s">
        <v>142</v>
      </c>
      <c r="B80" s="4">
        <v>44.96</v>
      </c>
    </row>
    <row r="81" spans="1:2" x14ac:dyDescent="0.25">
      <c r="A81" s="3" t="s">
        <v>143</v>
      </c>
      <c r="B81" s="4">
        <v>143.95200000000003</v>
      </c>
    </row>
    <row r="82" spans="1:2" ht="28.5" x14ac:dyDescent="0.45">
      <c r="A82" s="3" t="s">
        <v>61</v>
      </c>
      <c r="B82" s="5">
        <v>20021.164499999995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I20" sqref="I20"/>
    </sheetView>
  </sheetViews>
  <sheetFormatPr defaultRowHeight="15" x14ac:dyDescent="0.25"/>
  <cols>
    <col min="4" max="4" width="21.7109375"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8F69024-3EB8-46BE-8525-4D8510E29407}">
  <ds:schemaRefs/>
</ds:datastoreItem>
</file>

<file path=customXml/itemProps2.xml><?xml version="1.0" encoding="utf-8"?>
<ds:datastoreItem xmlns:ds="http://schemas.openxmlformats.org/officeDocument/2006/customXml" ds:itemID="{D3A8E1B6-938D-470E-9161-3727ADC178C4}">
  <ds:schemaRefs>
    <ds:schemaRef ds:uri="http://schemas.microsoft.com/DataMashup"/>
  </ds:schemaRefs>
</ds:datastoreItem>
</file>

<file path=customXml/itemProps3.xml><?xml version="1.0" encoding="utf-8"?>
<ds:datastoreItem xmlns:ds="http://schemas.openxmlformats.org/officeDocument/2006/customXml" ds:itemID="{BEE025DF-9149-428B-8BB3-F1499FB39BC5}">
  <ds:schemaRefs/>
</ds:datastoreItem>
</file>

<file path=customXml/itemProps4.xml><?xml version="1.0" encoding="utf-8"?>
<ds:datastoreItem xmlns:ds="http://schemas.openxmlformats.org/officeDocument/2006/customXml" ds:itemID="{4D506018-5D53-4E9F-A068-78C783AB1075}">
  <ds:schemaRefs/>
</ds:datastoreItem>
</file>

<file path=customXml/itemProps5.xml><?xml version="1.0" encoding="utf-8"?>
<ds:datastoreItem xmlns:ds="http://schemas.openxmlformats.org/officeDocument/2006/customXml" ds:itemID="{6C952791-12FE-4167-9087-2D4D5D369F93}">
  <ds:schemaRefs/>
</ds:datastoreItem>
</file>

<file path=customXml/itemProps6.xml><?xml version="1.0" encoding="utf-8"?>
<ds:datastoreItem xmlns:ds="http://schemas.openxmlformats.org/officeDocument/2006/customXml" ds:itemID="{EB7FF621-CDE8-4684-9CA0-FB255086D93B}">
  <ds:schemaRefs/>
</ds:datastoreItem>
</file>

<file path=customXml/itemProps7.xml><?xml version="1.0" encoding="utf-8"?>
<ds:datastoreItem xmlns:ds="http://schemas.openxmlformats.org/officeDocument/2006/customXml" ds:itemID="{1D994FEB-6BC1-4384-9426-0887EA2FC170}">
  <ds:schemaRefs/>
</ds:datastoreItem>
</file>

<file path=customXml/itemProps8.xml><?xml version="1.0" encoding="utf-8"?>
<ds:datastoreItem xmlns:ds="http://schemas.openxmlformats.org/officeDocument/2006/customXml" ds:itemID="{A781E876-15E5-4892-A41E-CFEE6FB5F679}">
  <ds:schemaRefs/>
</ds:datastoreItem>
</file>

<file path=customXml/itemProps9.xml><?xml version="1.0" encoding="utf-8"?>
<ds:datastoreItem xmlns:ds="http://schemas.openxmlformats.org/officeDocument/2006/customXml" ds:itemID="{2A217EED-A64C-4F27-ACD7-E6DF09989B83}">
  <ds:schemaRefs/>
</ds:datastoreItem>
</file>

<file path=customXml/itemProps10.xml><?xml version="1.0" encoding="utf-8"?>
<ds:datastoreItem xmlns:ds="http://schemas.openxmlformats.org/officeDocument/2006/customXml" ds:itemID="{C2F30499-64B1-4AFD-B1F0-41C4836829D3}">
  <ds:schemaRefs/>
</ds:datastoreItem>
</file>

<file path=customXml/itemProps11.xml><?xml version="1.0" encoding="utf-8"?>
<ds:datastoreItem xmlns:ds="http://schemas.openxmlformats.org/officeDocument/2006/customXml" ds:itemID="{AB03A106-7BF3-49C5-91E1-B51DC4508C5D}">
  <ds:schemaRefs/>
</ds:datastoreItem>
</file>

<file path=customXml/itemProps12.xml><?xml version="1.0" encoding="utf-8"?>
<ds:datastoreItem xmlns:ds="http://schemas.openxmlformats.org/officeDocument/2006/customXml" ds:itemID="{5D6FBA8F-AE57-4230-ABB5-9CFFA91F8A07}">
  <ds:schemaRefs/>
</ds:datastoreItem>
</file>

<file path=customXml/itemProps13.xml><?xml version="1.0" encoding="utf-8"?>
<ds:datastoreItem xmlns:ds="http://schemas.openxmlformats.org/officeDocument/2006/customXml" ds:itemID="{5CC10CB8-3A8D-48D6-BA82-B7DF85860139}">
  <ds:schemaRefs/>
</ds:datastoreItem>
</file>

<file path=customXml/itemProps14.xml><?xml version="1.0" encoding="utf-8"?>
<ds:datastoreItem xmlns:ds="http://schemas.openxmlformats.org/officeDocument/2006/customXml" ds:itemID="{9EDE6785-34BF-4AAE-8861-AE80DA5BF952}">
  <ds:schemaRefs/>
</ds:datastoreItem>
</file>

<file path=customXml/itemProps15.xml><?xml version="1.0" encoding="utf-8"?>
<ds:datastoreItem xmlns:ds="http://schemas.openxmlformats.org/officeDocument/2006/customXml" ds:itemID="{DE4979B9-38C3-4097-98D8-3C3565B4C02B}">
  <ds:schemaRefs/>
</ds:datastoreItem>
</file>

<file path=customXml/itemProps16.xml><?xml version="1.0" encoding="utf-8"?>
<ds:datastoreItem xmlns:ds="http://schemas.openxmlformats.org/officeDocument/2006/customXml" ds:itemID="{B84A19C3-DF36-4791-9869-04E9A54501DC}">
  <ds:schemaRefs/>
</ds:datastoreItem>
</file>

<file path=customXml/itemProps17.xml><?xml version="1.0" encoding="utf-8"?>
<ds:datastoreItem xmlns:ds="http://schemas.openxmlformats.org/officeDocument/2006/customXml" ds:itemID="{F06A859B-89F2-40EF-9F5C-CB8949F7C7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retails_sales</vt:lpstr>
      <vt:lpstr>DASHBOARD</vt:lpstr>
      <vt:lpstr>SalesVSDiscount</vt:lpstr>
      <vt:lpstr>Discount</vt:lpstr>
      <vt:lpstr>Top10</vt:lpstr>
      <vt:lpstr>Regions</vt:lpstr>
      <vt:lpstr>Regions&amp;Categories</vt:lpstr>
      <vt:lpstr>AverageOrders</vt:lpstr>
      <vt:lpstr>SalesByDate</vt:lpstr>
      <vt:lpstr>kpi</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Anzela Rizakova</dc:creator>
  <cp:lastModifiedBy>Anzela Rizakova</cp:lastModifiedBy>
  <dcterms:created xsi:type="dcterms:W3CDTF">2015-06-05T18:17:20Z</dcterms:created>
  <dcterms:modified xsi:type="dcterms:W3CDTF">2026-04-15T17:26:50Z</dcterms:modified>
</cp:coreProperties>
</file>